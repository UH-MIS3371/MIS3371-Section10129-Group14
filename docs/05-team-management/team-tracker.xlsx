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bccbb95fc551908a/Documents/GitHub/Mis3371-MarketStreet/docs/05-team-management/"/>
    </mc:Choice>
  </mc:AlternateContent>
  <xr:revisionPtr revIDLastSave="43" documentId="11_E1CC80F46584747B612B024329868FB43CFFDB73" xr6:coauthVersionLast="47" xr6:coauthVersionMax="47" xr10:uidLastSave="{C991AA46-3B77-4AD7-88EF-111ED1F37A37}"/>
  <bookViews>
    <workbookView xWindow="2280" yWindow="2280" windowWidth="28800" windowHeight="15370" xr2:uid="{00000000-000D-0000-FFFF-FFFF00000000}"/>
  </bookViews>
  <sheets>
    <sheet name="Start here" sheetId="1" r:id="rId1"/>
    <sheet name="Overview" sheetId="2" r:id="rId2"/>
    <sheet name="Weekly log" sheetId="3" r:id="rId3"/>
    <sheet name="Team" sheetId="4" r:id="rId4"/>
  </sheets>
  <definedNames>
    <definedName name="MemberNames">Team!$A$7:$A$12</definedName>
    <definedName name="_xlnm.Print_Area" localSheetId="1">Overview!$A$1:$H$22</definedName>
    <definedName name="_xlnm.Print_Area" localSheetId="0">'Start here'!$A$1:$F$29</definedName>
    <definedName name="_xlnm.Print_Area" localSheetId="3">Team!$A$1:$C$12</definedName>
    <definedName name="_xlnm.Print_Area" localSheetId="2">'Weekly log'!$A$1:$F$48</definedName>
    <definedName name="_xlnm.Print_Titles" localSheetId="1">Overview!$1:$6</definedName>
    <definedName name="_xlnm.Print_Titles" localSheetId="3">Team!$1:$6</definedName>
    <definedName name="_xlnm.Print_Titles" localSheetId="2">'Weekly log'!$1:$6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6" i="2"/>
  <c r="I15" i="2"/>
  <c r="I12" i="2"/>
  <c r="I9" i="2"/>
  <c r="I7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G12" i="2"/>
  <c r="E12" i="2"/>
  <c r="D12" i="2"/>
  <c r="C12" i="2"/>
  <c r="B12" i="2"/>
  <c r="A12" i="2"/>
  <c r="F11" i="2"/>
  <c r="D11" i="2"/>
  <c r="C11" i="2"/>
  <c r="A11" i="2"/>
  <c r="I11" i="2" s="1"/>
  <c r="H10" i="2"/>
  <c r="E10" i="2"/>
  <c r="B10" i="2"/>
  <c r="A10" i="2"/>
  <c r="I10" i="2" s="1"/>
  <c r="G9" i="2"/>
  <c r="F9" i="2"/>
  <c r="E9" i="2"/>
  <c r="D9" i="2"/>
  <c r="C9" i="2"/>
  <c r="A9" i="2"/>
  <c r="G8" i="2"/>
  <c r="E8" i="2"/>
  <c r="D8" i="2"/>
  <c r="C8" i="2"/>
  <c r="B8" i="2"/>
  <c r="A8" i="2"/>
  <c r="I8" i="2" s="1"/>
  <c r="C7" i="2"/>
  <c r="A7" i="2"/>
  <c r="G11" i="2" l="1"/>
  <c r="H11" i="2"/>
  <c r="E11" i="2"/>
  <c r="B11" i="2"/>
  <c r="B9" i="2"/>
  <c r="H9" i="2"/>
  <c r="H8" i="2"/>
  <c r="F8" i="2"/>
  <c r="H7" i="2"/>
  <c r="F7" i="2"/>
  <c r="H12" i="2"/>
  <c r="F12" i="2"/>
  <c r="G10" i="2"/>
  <c r="F10" i="2"/>
  <c r="D10" i="2"/>
  <c r="C10" i="2"/>
  <c r="G7" i="2"/>
  <c r="E7" i="2"/>
  <c r="D7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MarketStreet</author>
  </authors>
  <commentList>
    <comment ref="D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https://github.com/UH-MIS3371/MIS3371-Section10129-Group14/commit/1211953
https://github.com/UH-MIS3371/MIS3371-Section10129-Group14/commit/4f1d5c4
https://github.com/UH-MIS3371/MIS3371-Section10129-Group14/commit/70cf2d0
Check the commit diff before confirming the assessment.</t>
        </r>
      </text>
    </comment>
    <comment ref="E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https://github.com/UH-MIS3371/MIS3371-Section10129-Group14/commit/afe8c13
Check the commit diff before confirming the assessment.</t>
        </r>
      </text>
    </comment>
    <comment ref="E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https://github.com/UH-MIS3371/MIS3371-Section10129-Group14/commit/4c4e0da
Check the commit diff before confirming the assessment.</t>
        </r>
      </text>
    </comment>
    <comment ref="E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https://github.com/UH-MIS3371/MIS3371-Section10129-Group14/commit/ad515aa
https://github.com/UH-MIS3371/MIS3371-Section10129-Group14/commit/0cdcf79
Check the commit diff before confirming the assessment.</t>
        </r>
      </text>
    </comment>
    <comment ref="E1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https://github.com/UH-MIS3371/MIS3371-Section10129-Group14/commit/16b2f64
Check the commit diff before confirming the assessment.</t>
        </r>
      </text>
    </comment>
    <comment ref="E1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https://github.com/UH-MIS3371/MIS3371-Section10129-Group14/commit/2763615
Check the commit diff before confirming the assessment.</t>
        </r>
      </text>
    </comment>
    <comment ref="E1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https://github.com/UH-MIS3371/MIS3371-Section10129-Group14/commit/c148e95
https://github.com/UH-MIS3371/MIS3371-Section10129-Group14/commit/39be58c
https://github.com/UH-MIS3371/MIS3371-Section10129-Group14/commit/3855c7c
Check the commit diff before confirming the assessment.</t>
        </r>
      </text>
    </comment>
    <comment ref="E1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https://github.com/UH-MIS3371/MIS3371-Section10129-Group14/commit/2ddb1cd
https://github.com/UH-MIS3371/MIS3371-Section10129-Group14/commit/ae3598b
Check the commit diff before confirming the assessment.</t>
        </r>
      </text>
    </comment>
    <comment ref="E1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1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https://github.com/UH-MIS3371/MIS3371-Section10129-Group14/commit/8015abe
https://github.com/UH-MIS3371/MIS3371-Section10129-Group14/commit/829536b
Check the commit diff before confirming the assessment.</t>
        </r>
      </text>
    </comment>
    <comment ref="E16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1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https://github.com/UH-MIS3371/MIS3371-Section10129-Group14/commit/8081f7d
https://github.com/UH-MIS3371/MIS3371-Section10129-Group14/commit/e54acc7
Check the commit diff before confirming the assessment.</t>
        </r>
      </text>
    </comment>
    <comment ref="E1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19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https://github.com/UH-MIS3371/MIS3371-Section10129-Group14/commit/9c0ce0f
https://github.com/UH-MIS3371/MIS3371-Section10129-Group14/commit/bb499a5
Check the commit diff before confirming the assessment.</t>
        </r>
      </text>
    </comment>
    <comment ref="E1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2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https://github.com/UH-MIS3371/MIS3371-Section10129-Group14/commit/e2c55ac
https://github.com/UH-MIS3371/MIS3371-Section10129-Group14/commit/401689b
Check the commit diff before confirming the assessment.</t>
        </r>
      </text>
    </comment>
    <comment ref="E2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2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https://github.com/UH-MIS3371/MIS3371-Section10129-Group14/commit/0856bff
https://github.com/UH-MIS3371/MIS3371-Section10129-Group14/commit/2dfd7ac
Check the commit diff before confirming the assessment.</t>
        </r>
      </text>
    </comment>
    <comment ref="E2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2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2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2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https://github.com/UH-MIS3371/MIS3371-Section10129-Group14/commit/15f1fe1
Check the commit diff before confirming the assessment.</t>
        </r>
      </text>
    </comment>
    <comment ref="E24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2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https://github.com/UH-MIS3371/MIS3371-Section10129-Group14/commit/311563c
Check the commit diff before confirming the assessment.</t>
        </r>
      </text>
    </comment>
    <comment ref="E2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2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https://github.com/UH-MIS3371/MIS3371-Section10129-Group14/commit/5d47986
https://github.com/UH-MIS3371/MIS3371-Section10129-Group14/commit/391308e
https://github.com/UH-MIS3371/MIS3371-Section10129-Group14/commit/e988569
Check the commit diff before confirming the assessment.</t>
        </r>
      </text>
    </comment>
    <comment ref="E2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2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2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https://github.com/UH-MIS3371/MIS3371-Section10129-Group14/commit/2b97aaf
https://github.com/UH-MIS3371/MIS3371-Section10129-Group14/commit/c10a898
https://github.com/UH-MIS3371/MIS3371-Section10129-Group14/commit/c2bc258
Check the commit diff before confirming the assessment.</t>
        </r>
      </text>
    </comment>
    <comment ref="E2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29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30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https://github.com/UH-MIS3371/MIS3371-Section10129-Group14/commit/185dddf
https://github.com/UH-MIS3371/MIS3371-Section10129-Group14/commit/6b66d12
https://github.com/UH-MIS3371/MIS3371-Section10129-Group14/commit/edb5ca9
Check the commit diff before confirming the assessment.</t>
        </r>
      </text>
    </comment>
    <comment ref="E30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31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https://github.com/UH-MIS3371/MIS3371-Section10129-Group14/commit/d4804b1
Check the commit diff before confirming the assessment.</t>
        </r>
      </text>
    </comment>
    <comment ref="E31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3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3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34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https://github.com/UH-MIS3371/MIS3371-Section10129-Group14/commit/79faac0
https://github.com/UH-MIS3371/MIS3371-Section10129-Group14/commit/929ac10
Check the commit diff before confirming the assessment.</t>
        </r>
      </text>
    </comment>
    <comment ref="E34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3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3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https://github.com/UH-MIS3371/MIS3371-Section10129-Group14/commit/b69a5c0
Check the commit diff before confirming the assessment.</t>
        </r>
      </text>
    </comment>
    <comment ref="E36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3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3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https://github.com/UH-MIS3371/MIS3371-Section10129-Group14/commit/4bc65ee
https://github.com/UH-MIS3371/MIS3371-Section10129-Group14/commit/e18fcc3
https://github.com/UH-MIS3371/MIS3371-Section10129-Group14/commit/945ff01
Check the commit diff before confirming the assessment.</t>
        </r>
      </text>
    </comment>
    <comment ref="E3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3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4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https://github.com/UH-MIS3371/MIS3371-Section10129-Group14/commit/62503fe
Check the commit diff before confirming the assessment.</t>
        </r>
      </text>
    </comment>
    <comment ref="E40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4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42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https://github.com/UH-MIS3371/MIS3371-Section10129-Group14/commit/2ec748a
https://github.com/UH-MIS3371/MIS3371-Section10129-Group14/commit/1a37cdb
Check the commit diff before confirming the assessment.</t>
        </r>
      </text>
    </comment>
    <comment ref="E42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4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https://github.com/UH-MIS3371/MIS3371-Section10129-Group14/commit/1f9c3ed
Check the commit diff before confirming the assessment.</t>
        </r>
      </text>
    </comment>
    <comment ref="E4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D4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Repository evidence: https://github.com/UH-MIS3371/MIS3371-Section10129-Group14/commit/725865f
https://github.com/UH-MIS3371/MIS3371-Section10129-Group14/commit/14f23c5
https://github.com/UH-MIS3371/MIS3371-Section10129-Group14/commit/1bccb1e
Check the commit diff before confirming the assessment.</t>
        </r>
      </text>
    </comment>
    <comment ref="E4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45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46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4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  <comment ref="E4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Provisional qualitative rating of documented work. Delivered = attributable deliverable; Supported = attributable supporting change; Unverified = contribution needs confirmation. Not a numerical score or course grade.</t>
        </r>
      </text>
    </comment>
  </commentList>
</comments>
</file>

<file path=xl/sharedStrings.xml><?xml version="1.0" encoding="utf-8"?>
<sst xmlns="http://schemas.openxmlformats.org/spreadsheetml/2006/main" count="357" uniqueCount="125">
  <si>
    <t>MarketStreet | Team tracker</t>
  </si>
  <si>
    <t>Weekly contributions, source evidence, and leader review · Updated through October 25, 2026</t>
  </si>
  <si>
    <t>Update one log. Keep every checkpoint clear.</t>
  </si>
  <si>
    <t>Open the Weekly log</t>
  </si>
  <si>
    <t>One row per member per week. Filter the Week column to find your checkpoint.</t>
  </si>
  <si>
    <t>Check the work and evidence</t>
  </si>
  <si>
    <t>Edit contributions and rating dropdowns. Add confirmed paired work, reviews, or testing done outside GitHub.</t>
  </si>
  <si>
    <t>Confirm all six entries</t>
  </si>
  <si>
    <t>Set Leader review to Confirmed after checking each row. Unverified entries need details before checkpoint sign-off.</t>
  </si>
  <si>
    <t>Add the next checkpoint</t>
  </si>
  <si>
    <t>Press Tab in the last table cell to add a row. Add six members for the new week, then copy an Overview week column and update its heading.</t>
  </si>
  <si>
    <t>Contribution ratings</t>
  </si>
  <si>
    <t>Delivered</t>
  </si>
  <si>
    <t>Attributable checkpoint deliverable in Git history.</t>
  </si>
  <si>
    <t>Supported</t>
  </si>
  <si>
    <t>Attributable correction, refinement, or integration work.</t>
  </si>
  <si>
    <t>Unverified</t>
  </si>
  <si>
    <t>No attributable checkpoint work located. Confirm with the member.</t>
  </si>
  <si>
    <t>These are provisional assessments of repository evidence, not grades or attendance records. Unverified does not mean no work was done. Do not approve a checkpoint until the leader has checked all six entries.</t>
  </si>
  <si>
    <t>Jump to the member-by-week overview</t>
  </si>
  <si>
    <t>Contributions at a glance</t>
  </si>
  <si>
    <t>Click any rating to edit its log entry · Ratings describe repository evidence and remain provisional until reviewed</t>
  </si>
  <si>
    <t>Backfilled: Weeks 3–6. Current coverage: Weeks 3–9. Amber cells need contribution details.</t>
  </si>
  <si>
    <t>Member</t>
  </si>
  <si>
    <t>Week 3</t>
  </si>
  <si>
    <t>Week 4</t>
  </si>
  <si>
    <t>Week 5</t>
  </si>
  <si>
    <t>Week 6</t>
  </si>
  <si>
    <t>Week 7</t>
  </si>
  <si>
    <t>Week 8</t>
  </si>
  <si>
    <t>Week 9</t>
  </si>
  <si>
    <t>Leader-confirmed entries</t>
  </si>
  <si>
    <t>Entries needing details</t>
  </si>
  <si>
    <t>Log entries recorded</t>
  </si>
  <si>
    <t>Delivered = attributable deliverable     Supported = attributable supporting change     Unverified = confirm with member</t>
  </si>
  <si>
    <t>Add a future week: copy the last week column to the right, change its heading, and add six matching rows in Weekly log.</t>
  </si>
  <si>
    <t>Weekly contribution log</t>
  </si>
  <si>
    <t>Edit this table each checkpoint · Six members per week · Confirm evidence before leader sign-off</t>
  </si>
  <si>
    <t>Filter a week, update the six entries, then confirm. New rows: press Tab in the final table cell.</t>
  </si>
  <si>
    <t>Week</t>
  </si>
  <si>
    <t>Contribution / deliverable</t>
  </si>
  <si>
    <t>Evidence (commit IDs)</t>
  </si>
  <si>
    <t>Contribution rating</t>
  </si>
  <si>
    <t>Leader review</t>
  </si>
  <si>
    <t>Austin Tran Nguyen</t>
  </si>
  <si>
    <t>Created the trade data dictionary and project proposal; organized the foundation, requirements, and design documents.</t>
  </si>
  <si>
    <t>1211953, 4f1d5c4, 70cf2d0</t>
  </si>
  <si>
    <t>Provisional</t>
  </si>
  <si>
    <t>Sophia Musetti</t>
  </si>
  <si>
    <t>Added the finalized transaction workflow diagram for the system-design exercise.</t>
  </si>
  <si>
    <t>afe8c13</t>
  </si>
  <si>
    <t>Arya Nair</t>
  </si>
  <si>
    <t>Added the workflow exception and failure paths.</t>
  </si>
  <si>
    <t>4c4e0da</t>
  </si>
  <si>
    <t>Benjamin Nguyen</t>
  </si>
  <si>
    <t>Wrote presentation, application-logic, and data-tier responsibility notes.</t>
  </si>
  <si>
    <t>ad515aa, 0cdcf79</t>
  </si>
  <si>
    <t>Shayaan M. Dawra</t>
  </si>
  <si>
    <t>Uploaded the architecture diagram for the system-design exercise.</t>
  </si>
  <si>
    <t>16b2f64</t>
  </si>
  <si>
    <t>Agah Duzenli</t>
  </si>
  <si>
    <t>Added the state transition diagram, state definitions, and related transaction documentation.</t>
  </si>
  <si>
    <t>2763615</t>
  </si>
  <si>
    <t>Added the semantic transaction page and September 16 live-build HTML; corrected the class form location and CSS reference.</t>
  </si>
  <si>
    <t>c148e95, 39be58c, 3855c7c</t>
  </si>
  <si>
    <t>Updated the transaction-form HTML and cleaned up its comments.</t>
  </si>
  <si>
    <t>2ddb1cd, ae3598b</t>
  </si>
  <si>
    <t>No attributable repository change located for this checkpoint. Confirm any paired work, reviews, testing, or offline work before approving.</t>
  </si>
  <si>
    <t>History reviewed through 2026-10-25</t>
  </si>
  <si>
    <t>Needs details</t>
  </si>
  <si>
    <t>Refined form spacing and a button in the Week 4 form-label exercise.</t>
  </si>
  <si>
    <t>8015abe, 829536b</t>
  </si>
  <si>
    <t>Added labeled email and password controls with a transaction-details fieldset; updated the transaction form.</t>
  </si>
  <si>
    <t>8081f7d, e54acc7</t>
  </si>
  <si>
    <t>Added the September 21 CSS styling and September 27 Milestone form with its stylesheet.</t>
  </si>
  <si>
    <t>9c0ce0f, bb499a5</t>
  </si>
  <si>
    <t>Added the stock-trade form and CSS styling; refined the Milestone stylesheet.</t>
  </si>
  <si>
    <t>e2c55ac, 401689b</t>
  </si>
  <si>
    <t>Added the individual expense-reimbursement form and responsive CSS. This records individual coursework; group-exercise participation needs confirmation.</t>
  </si>
  <si>
    <t>0856bff, 2dfd7ac</t>
  </si>
  <si>
    <t>Built the early trade UI and styled the checkpoint presentation. This UI work was committed September 30.</t>
  </si>
  <si>
    <t>15f1fe1</t>
  </si>
  <si>
    <t>Added the Week 6 HTML, CSS, and whole-share validation script; organized earlier exercises. Also added the individual Week 6 form.</t>
  </si>
  <si>
    <t>311563c</t>
  </si>
  <si>
    <t>Added whole-share quantity tests, live quantity feedback, and custom validity handling. Also added the individual Week 6 assignment.</t>
  </si>
  <si>
    <t>5d47986, 391308e, e988569</t>
  </si>
  <si>
    <t>Updated the trade prototype JavaScript. Also added the individual reimbursement form, stylesheet, and script.</t>
  </si>
  <si>
    <t>2b97aaf, c10a898, c2bc258</t>
  </si>
  <si>
    <t>Implemented the Milestone submit-summary JavaScript; updated the Week 6 HTML and state-diagram documentation.</t>
  </si>
  <si>
    <t>185dddf, 6b66d12, edb5ca9</t>
  </si>
  <si>
    <t>Added the Week 7 validation and business-rule behavior exercise.</t>
  </si>
  <si>
    <t>d4804b1</t>
  </si>
  <si>
    <t>Updated the early trade-prototype JavaScript in two commits on October 12.</t>
  </si>
  <si>
    <t>79faac0, 929ac10</t>
  </si>
  <si>
    <t>Reconciled the rules, workflow, states, dictionary, and tier documentation; introduced the Market-only application screens and decision log.</t>
  </si>
  <si>
    <t>b69a5c0</t>
  </si>
  <si>
    <t>Added backend validation, six trade tests, and the expected-versus-actual backend test report; removed duplicate backend files.</t>
  </si>
  <si>
    <t>4bc65ee, e18fcc3, 945ff01</t>
  </si>
  <si>
    <t>Reordered backend business-rule checks and clarified the matching backend tests.</t>
  </si>
  <si>
    <t>62503fe</t>
  </si>
  <si>
    <t>Added the backend structure and example business logic; placed the application screens in frontend/.</t>
  </si>
  <si>
    <t>2ec748a, 1a37cdb</t>
  </si>
  <si>
    <t>Corrected outdated application wording and README setup and contribution documentation.</t>
  </si>
  <si>
    <t>1f9c3ed</t>
  </si>
  <si>
    <t>Built the local Express API; connected the trade form with fetch; added API tests, integration results, and screenshot evidence.</t>
  </si>
  <si>
    <t>725865f, 14f23c5, 1bccb1e</t>
  </si>
  <si>
    <t>The MarketStreet team</t>
  </si>
  <si>
    <t>Names and roles match the team charter. The Weekly log member dropdown reads this roster.</t>
  </si>
  <si>
    <t>Primary role</t>
  </si>
  <si>
    <t>Git author / account aliases</t>
  </si>
  <si>
    <t>Team Leader / Requirements &amp; Product</t>
  </si>
  <si>
    <t>AustinNguyen1; Ausnguy; Austin Nguyen</t>
  </si>
  <si>
    <t>UI / Accessibility</t>
  </si>
  <si>
    <t>smusetti-star</t>
  </si>
  <si>
    <t>Git / Integration</t>
  </si>
  <si>
    <t>aryanairv</t>
  </si>
  <si>
    <t>Support / Floater</t>
  </si>
  <si>
    <t>CloudyCloudCloudy; TrueCloudias; Benjamin N</t>
  </si>
  <si>
    <t>QA / Documentation</t>
  </si>
  <si>
    <t>Shayaandawra</t>
  </si>
  <si>
    <t>JavaScript / Logic / Technical Lead</t>
  </si>
  <si>
    <t>Agah DUZENLI; agahdznl</t>
  </si>
  <si>
    <t>Week 10</t>
  </si>
  <si>
    <t>Temporary update test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</si>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</sst>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b/>
      <sz val="11"/>
      <color rgb="FF526779"/>
      <name val="Aptos"/>
    </font>
    <font>
      <sz val="11"/>
      <color rgb="FF173247"/>
      <name val="Aptos"/>
    </font>
    <font>
      <b/>
      <sz val="19"/>
      <color rgb="FF173247"/>
      <name val="Aptos"/>
    </font>
    <font>
      <b/>
      <sz val="13"/>
      <color rgb="FF17634A"/>
      <name val="Aptos"/>
    </font>
    <font>
      <b/>
      <u/>
      <sz val="13"/>
      <color rgb="FF17634A"/>
      <name val="Aptos"/>
    </font>
    <font>
      <b/>
      <sz val="14"/>
      <color rgb="FFFFFFFF"/>
      <name val="Aptos"/>
    </font>
    <font>
      <b/>
      <sz val="11"/>
      <color rgb="FF17634A"/>
      <name val="Aptos"/>
    </font>
    <font>
      <b/>
      <sz val="11"/>
      <color rgb="FF153A51"/>
      <name val="Aptos"/>
    </font>
    <font>
      <b/>
      <sz val="11"/>
      <color rgb="FF754500"/>
      <name val="Aptos"/>
    </font>
    <font>
      <sz val="11"/>
      <color rgb="FF754500"/>
      <name val="Aptos"/>
    </font>
    <font>
      <b/>
      <sz val="11"/>
      <color rgb="FFFFFFFF"/>
      <name val="Aptos"/>
    </font>
    <font>
      <u/>
      <sz val="11"/>
      <color rgb="FF17634A"/>
      <name val="Aptos"/>
    </font>
    <font>
      <b/>
      <sz val="11"/>
      <color rgb="FF173247"/>
      <name val="Aptos"/>
    </font>
  </fonts>
  <fills count="8">
    <fill>
      <patternFill patternType="none"/>
    </fill>
    <fill>
      <patternFill patternType="gray125"/>
    </fill>
    <fill>
      <patternFill patternType="solid">
        <fgColor rgb="FF153A51"/>
      </patternFill>
    </fill>
    <fill>
      <patternFill patternType="solid">
        <fgColor rgb="FFF2F7FA"/>
      </patternFill>
    </fill>
    <fill>
      <patternFill patternType="solid">
        <fgColor rgb="FFFFFFFF"/>
      </patternFill>
    </fill>
    <fill>
      <patternFill patternType="solid">
        <fgColor rgb="FFE8F5EE"/>
      </patternFill>
    </fill>
    <fill>
      <patternFill patternType="solid">
        <fgColor rgb="FFE9F0FA"/>
      </patternFill>
    </fill>
    <fill>
      <patternFill patternType="solid">
        <fgColor rgb="FFFFF0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2" fillId="2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5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14">
    <dxf>
      <font>
        <b/>
        <color rgb="FF8A2727"/>
      </font>
      <fill>
        <patternFill patternType="solid">
          <fgColor rgb="FFFBE5E5"/>
        </patternFill>
      </fill>
    </dxf>
    <dxf>
      <font>
        <b/>
        <color rgb="FF754500"/>
      </font>
      <fill>
        <patternFill patternType="solid">
          <fgColor rgb="FFFFF0D1"/>
        </patternFill>
      </fill>
    </dxf>
    <dxf>
      <font>
        <b/>
        <color rgb="FF153A51"/>
      </font>
      <fill>
        <patternFill patternType="solid">
          <fgColor rgb="FFE9F0FA"/>
        </patternFill>
      </fill>
    </dxf>
    <dxf>
      <font>
        <b/>
        <color rgb="FF17634A"/>
      </font>
      <fill>
        <patternFill patternType="solid">
          <fgColor rgb="FFE8F5EE"/>
        </patternFill>
      </fill>
    </dxf>
    <dxf>
      <font>
        <b/>
        <color rgb="FF754500"/>
      </font>
      <fill>
        <patternFill patternType="solid">
          <fgColor rgb="FFFFF0D1"/>
        </patternFill>
      </fill>
    </dxf>
    <dxf>
      <font>
        <b/>
        <color rgb="FF17634A"/>
      </font>
      <fill>
        <patternFill patternType="solid">
          <fgColor rgb="FFE8F5EE"/>
        </patternFill>
      </fill>
    </dxf>
    <dxf>
      <font>
        <b/>
        <color rgb="FF8A2727"/>
      </font>
      <fill>
        <patternFill patternType="solid">
          <fgColor rgb="FFFBE5E5"/>
        </patternFill>
      </fill>
    </dxf>
    <dxf>
      <font>
        <b/>
        <color rgb="FF754500"/>
      </font>
      <fill>
        <patternFill patternType="solid">
          <fgColor rgb="FFFFF0D1"/>
        </patternFill>
      </fill>
    </dxf>
    <dxf>
      <font>
        <b/>
        <color rgb="FF153A51"/>
      </font>
      <fill>
        <patternFill patternType="solid">
          <fgColor rgb="FFE9F0FA"/>
        </patternFill>
      </fill>
    </dxf>
    <dxf>
      <font>
        <b/>
        <color rgb="FF17634A"/>
      </font>
      <fill>
        <patternFill patternType="solid">
          <fgColor rgb="FFE8F5EE"/>
        </patternFill>
      </fill>
    </dxf>
    <dxf>
      <font>
        <b/>
        <color rgb="FF8A2727"/>
      </font>
      <fill>
        <patternFill patternType="solid">
          <fgColor rgb="FFFBE5E5"/>
        </patternFill>
      </fill>
    </dxf>
    <dxf>
      <font>
        <b/>
        <color rgb="FF754500"/>
      </font>
      <fill>
        <patternFill patternType="solid">
          <fgColor rgb="FFFFF0D1"/>
        </patternFill>
      </fill>
    </dxf>
    <dxf>
      <font>
        <b/>
        <color rgb="FF153A51"/>
      </font>
      <fill>
        <patternFill patternType="solid">
          <fgColor rgb="FFE9F0FA"/>
        </patternFill>
      </fill>
    </dxf>
    <dxf>
      <font>
        <b/>
        <color rgb="FF17634A"/>
      </font>
      <fill>
        <patternFill patternType="solid">
          <fgColor rgb="FFE8F5E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Contributions" displayName="WeeklyContributions" ref="A6:F54">
  <autoFilter ref="A6:F54" xr:uid="{00000000-0009-0000-0100-000001000000}"/>
  <tableColumns count="6">
    <tableColumn id="1" xr3:uid="{00000000-0010-0000-0000-000001000000}" name="Week"/>
    <tableColumn id="2" xr3:uid="{00000000-0010-0000-0000-000002000000}" name="Member"/>
    <tableColumn id="3" xr3:uid="{00000000-0010-0000-0000-000003000000}" name="Contribution / deliverable"/>
    <tableColumn id="4" xr3:uid="{00000000-0010-0000-0000-000004000000}" name="Evidence (commit IDs)"/>
    <tableColumn id="5" xr3:uid="{00000000-0010-0000-0000-000005000000}" name="Contribution rating"/>
    <tableColumn id="6" xr3:uid="{00000000-0010-0000-0000-000006000000}" name="Leader revi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Members" displayName="TeamMembers" ref="A6:C12">
  <autoFilter ref="A6:C12" xr:uid="{00000000-0009-0000-0100-000002000000}"/>
  <tableColumns count="3">
    <tableColumn id="1" xr3:uid="{00000000-0010-0000-0100-000001000000}" name="Member"/>
    <tableColumn id="2" xr3:uid="{00000000-0010-0000-0100-000002000000}" name="Primary role"/>
    <tableColumn id="3" xr3:uid="{00000000-0010-0000-0100-000003000000}" name="Git author / account ali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UH-MIS3371/MIS3371-Section10129-Group14/commit/2ddb1cd" TargetMode="External"/><Relationship Id="rId13" Type="http://schemas.openxmlformats.org/officeDocument/2006/relationships/hyperlink" Target="https://github.com/UH-MIS3371/MIS3371-Section10129-Group14/commit/0856bff" TargetMode="External"/><Relationship Id="rId18" Type="http://schemas.openxmlformats.org/officeDocument/2006/relationships/hyperlink" Target="https://github.com/UH-MIS3371/MIS3371-Section10129-Group14/commit/185dddf" TargetMode="External"/><Relationship Id="rId26" Type="http://schemas.openxmlformats.org/officeDocument/2006/relationships/hyperlink" Target="https://github.com/UH-MIS3371/MIS3371-Section10129-Group14/commit/725865f" TargetMode="External"/><Relationship Id="rId3" Type="http://schemas.openxmlformats.org/officeDocument/2006/relationships/hyperlink" Target="https://github.com/UH-MIS3371/MIS3371-Section10129-Group14/commit/4c4e0da" TargetMode="External"/><Relationship Id="rId21" Type="http://schemas.openxmlformats.org/officeDocument/2006/relationships/hyperlink" Target="https://github.com/UH-MIS3371/MIS3371-Section10129-Group14/commit/b69a5c0" TargetMode="External"/><Relationship Id="rId7" Type="http://schemas.openxmlformats.org/officeDocument/2006/relationships/hyperlink" Target="https://github.com/UH-MIS3371/MIS3371-Section10129-Group14/commit/c148e95" TargetMode="External"/><Relationship Id="rId12" Type="http://schemas.openxmlformats.org/officeDocument/2006/relationships/hyperlink" Target="https://github.com/UH-MIS3371/MIS3371-Section10129-Group14/commit/e2c55ac" TargetMode="External"/><Relationship Id="rId17" Type="http://schemas.openxmlformats.org/officeDocument/2006/relationships/hyperlink" Target="https://github.com/UH-MIS3371/MIS3371-Section10129-Group14/commit/2b97aaf" TargetMode="External"/><Relationship Id="rId25" Type="http://schemas.openxmlformats.org/officeDocument/2006/relationships/hyperlink" Target="https://github.com/UH-MIS3371/MIS3371-Section10129-Group14/commit/1f9c3ed" TargetMode="External"/><Relationship Id="rId2" Type="http://schemas.openxmlformats.org/officeDocument/2006/relationships/hyperlink" Target="https://github.com/UH-MIS3371/MIS3371-Section10129-Group14/commit/afe8c13" TargetMode="External"/><Relationship Id="rId16" Type="http://schemas.openxmlformats.org/officeDocument/2006/relationships/hyperlink" Target="https://github.com/UH-MIS3371/MIS3371-Section10129-Group14/commit/5d47986" TargetMode="External"/><Relationship Id="rId20" Type="http://schemas.openxmlformats.org/officeDocument/2006/relationships/hyperlink" Target="https://github.com/UH-MIS3371/MIS3371-Section10129-Group14/commit/79faac0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github.com/UH-MIS3371/MIS3371-Section10129-Group14/commit/1211953" TargetMode="External"/><Relationship Id="rId6" Type="http://schemas.openxmlformats.org/officeDocument/2006/relationships/hyperlink" Target="https://github.com/UH-MIS3371/MIS3371-Section10129-Group14/commit/2763615" TargetMode="External"/><Relationship Id="rId11" Type="http://schemas.openxmlformats.org/officeDocument/2006/relationships/hyperlink" Target="https://github.com/UH-MIS3371/MIS3371-Section10129-Group14/commit/9c0ce0f" TargetMode="External"/><Relationship Id="rId24" Type="http://schemas.openxmlformats.org/officeDocument/2006/relationships/hyperlink" Target="https://github.com/UH-MIS3371/MIS3371-Section10129-Group14/commit/2ec748a" TargetMode="External"/><Relationship Id="rId5" Type="http://schemas.openxmlformats.org/officeDocument/2006/relationships/hyperlink" Target="https://github.com/UH-MIS3371/MIS3371-Section10129-Group14/commit/16b2f64" TargetMode="External"/><Relationship Id="rId15" Type="http://schemas.openxmlformats.org/officeDocument/2006/relationships/hyperlink" Target="https://github.com/UH-MIS3371/MIS3371-Section10129-Group14/commit/311563c" TargetMode="External"/><Relationship Id="rId23" Type="http://schemas.openxmlformats.org/officeDocument/2006/relationships/hyperlink" Target="https://github.com/UH-MIS3371/MIS3371-Section10129-Group14/commit/62503fe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github.com/UH-MIS3371/MIS3371-Section10129-Group14/commit/8081f7d" TargetMode="External"/><Relationship Id="rId19" Type="http://schemas.openxmlformats.org/officeDocument/2006/relationships/hyperlink" Target="https://github.com/UH-MIS3371/MIS3371-Section10129-Group14/commit/d4804b1" TargetMode="External"/><Relationship Id="rId4" Type="http://schemas.openxmlformats.org/officeDocument/2006/relationships/hyperlink" Target="https://github.com/UH-MIS3371/MIS3371-Section10129-Group14/commit/ad515aa" TargetMode="External"/><Relationship Id="rId9" Type="http://schemas.openxmlformats.org/officeDocument/2006/relationships/hyperlink" Target="https://github.com/UH-MIS3371/MIS3371-Section10129-Group14/commit/8015abe" TargetMode="External"/><Relationship Id="rId14" Type="http://schemas.openxmlformats.org/officeDocument/2006/relationships/hyperlink" Target="https://github.com/UH-MIS3371/MIS3371-Section10129-Group14/commit/15f1fe1" TargetMode="External"/><Relationship Id="rId22" Type="http://schemas.openxmlformats.org/officeDocument/2006/relationships/hyperlink" Target="https://github.com/UH-MIS3371/MIS3371-Section10129-Group14/commit/4bc65ee" TargetMode="External"/><Relationship Id="rId27" Type="http://schemas.openxmlformats.org/officeDocument/2006/relationships/printerSettings" Target="../printerSettings/printerSettings3.bin"/><Relationship Id="rId30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3A51"/>
    <outlinePr summaryRight="0"/>
    <pageSetUpPr fitToPage="1"/>
  </sheetPr>
  <dimension ref="A1:F28"/>
  <sheetViews>
    <sheetView showGridLines="0" tabSelected="1" zoomScale="85" workbookViewId="0">
      <selection activeCell="B6" sqref="B6:E6"/>
    </sheetView>
  </sheetViews>
  <sheetFormatPr defaultRowHeight="14.5" x14ac:dyDescent="0.35"/>
  <cols>
    <col min="1" max="1" width="9" customWidth="1"/>
    <col min="2" max="5" width="24" customWidth="1"/>
    <col min="6" max="6" width="9" customWidth="1"/>
  </cols>
  <sheetData>
    <row r="1" spans="1:6" ht="48" customHeight="1" x14ac:dyDescent="0.35">
      <c r="A1" s="19" t="s">
        <v>0</v>
      </c>
      <c r="B1" s="16"/>
      <c r="C1" s="16"/>
      <c r="D1" s="16"/>
      <c r="E1" s="16"/>
      <c r="F1" s="16"/>
    </row>
    <row r="2" spans="1:6" ht="34" customHeight="1" x14ac:dyDescent="0.35">
      <c r="A2" s="15" t="s">
        <v>1</v>
      </c>
      <c r="B2" s="16"/>
      <c r="C2" s="16"/>
      <c r="D2" s="16"/>
      <c r="E2" s="16"/>
      <c r="F2" s="16"/>
    </row>
    <row r="3" spans="1:6" ht="12" customHeight="1" x14ac:dyDescent="0.35"/>
    <row r="4" spans="1:6" ht="35" customHeight="1" x14ac:dyDescent="0.35">
      <c r="B4" s="18" t="s">
        <v>2</v>
      </c>
      <c r="C4" s="16"/>
      <c r="D4" s="16"/>
      <c r="E4" s="16"/>
    </row>
    <row r="6" spans="1:6" x14ac:dyDescent="0.35">
      <c r="B6" s="20" t="s">
        <v>3</v>
      </c>
      <c r="C6" s="16"/>
      <c r="D6" s="16"/>
      <c r="E6" s="16"/>
    </row>
    <row r="7" spans="1:6" ht="24" customHeight="1" x14ac:dyDescent="0.35">
      <c r="B7" s="21" t="s">
        <v>4</v>
      </c>
      <c r="C7" s="16"/>
      <c r="D7" s="16"/>
      <c r="E7" s="16"/>
    </row>
    <row r="8" spans="1:6" ht="14" customHeight="1" x14ac:dyDescent="0.35">
      <c r="B8" s="16"/>
      <c r="C8" s="16"/>
      <c r="D8" s="16"/>
      <c r="E8" s="16"/>
    </row>
    <row r="9" spans="1:6" x14ac:dyDescent="0.35">
      <c r="B9" s="17" t="s">
        <v>5</v>
      </c>
      <c r="C9" s="16"/>
      <c r="D9" s="16"/>
      <c r="E9" s="16"/>
    </row>
    <row r="10" spans="1:6" ht="24" customHeight="1" x14ac:dyDescent="0.35">
      <c r="B10" s="21" t="s">
        <v>6</v>
      </c>
      <c r="C10" s="16"/>
      <c r="D10" s="16"/>
      <c r="E10" s="16"/>
    </row>
    <row r="11" spans="1:6" ht="14" customHeight="1" x14ac:dyDescent="0.35">
      <c r="B11" s="16"/>
      <c r="C11" s="16"/>
      <c r="D11" s="16"/>
      <c r="E11" s="16"/>
    </row>
    <row r="12" spans="1:6" x14ac:dyDescent="0.35">
      <c r="B12" s="17" t="s">
        <v>7</v>
      </c>
      <c r="C12" s="16"/>
      <c r="D12" s="16"/>
      <c r="E12" s="16"/>
    </row>
    <row r="13" spans="1:6" ht="24" customHeight="1" x14ac:dyDescent="0.35">
      <c r="B13" s="21" t="s">
        <v>8</v>
      </c>
      <c r="C13" s="16"/>
      <c r="D13" s="16"/>
      <c r="E13" s="16"/>
    </row>
    <row r="14" spans="1:6" ht="14" customHeight="1" x14ac:dyDescent="0.35">
      <c r="B14" s="16"/>
      <c r="C14" s="16"/>
      <c r="D14" s="16"/>
      <c r="E14" s="16"/>
    </row>
    <row r="15" spans="1:6" x14ac:dyDescent="0.35">
      <c r="B15" s="17" t="s">
        <v>9</v>
      </c>
      <c r="C15" s="16"/>
      <c r="D15" s="16"/>
      <c r="E15" s="16"/>
    </row>
    <row r="16" spans="1:6" ht="24" customHeight="1" x14ac:dyDescent="0.35">
      <c r="B16" s="21" t="s">
        <v>10</v>
      </c>
      <c r="C16" s="16"/>
      <c r="D16" s="16"/>
      <c r="E16" s="16"/>
    </row>
    <row r="17" spans="2:5" ht="14" customHeight="1" x14ac:dyDescent="0.35">
      <c r="B17" s="16"/>
      <c r="C17" s="16"/>
      <c r="D17" s="16"/>
      <c r="E17" s="16"/>
    </row>
    <row r="19" spans="2:5" x14ac:dyDescent="0.35">
      <c r="B19" s="23" t="s">
        <v>11</v>
      </c>
      <c r="C19" s="16"/>
      <c r="D19" s="16"/>
      <c r="E19" s="16"/>
    </row>
    <row r="20" spans="2:5" ht="32" customHeight="1" x14ac:dyDescent="0.35">
      <c r="B20" s="2" t="s">
        <v>12</v>
      </c>
      <c r="C20" s="21" t="s">
        <v>13</v>
      </c>
      <c r="D20" s="16"/>
      <c r="E20" s="16"/>
    </row>
    <row r="21" spans="2:5" ht="32" customHeight="1" x14ac:dyDescent="0.35">
      <c r="B21" s="3" t="s">
        <v>14</v>
      </c>
      <c r="C21" s="21" t="s">
        <v>15</v>
      </c>
      <c r="D21" s="16"/>
      <c r="E21" s="16"/>
    </row>
    <row r="22" spans="2:5" ht="32" customHeight="1" x14ac:dyDescent="0.35">
      <c r="B22" s="4" t="s">
        <v>16</v>
      </c>
      <c r="C22" s="21" t="s">
        <v>17</v>
      </c>
      <c r="D22" s="16"/>
      <c r="E22" s="16"/>
    </row>
    <row r="24" spans="2:5" x14ac:dyDescent="0.35">
      <c r="B24" s="22" t="s">
        <v>18</v>
      </c>
      <c r="C24" s="16"/>
      <c r="D24" s="16"/>
      <c r="E24" s="16"/>
    </row>
    <row r="25" spans="2:5" x14ac:dyDescent="0.35">
      <c r="B25" s="16"/>
      <c r="C25" s="16"/>
      <c r="D25" s="16"/>
      <c r="E25" s="16"/>
    </row>
    <row r="26" spans="2:5" x14ac:dyDescent="0.35">
      <c r="B26" s="16"/>
      <c r="C26" s="16"/>
      <c r="D26" s="16"/>
      <c r="E26" s="16"/>
    </row>
    <row r="28" spans="2:5" x14ac:dyDescent="0.35">
      <c r="B28" s="20" t="s">
        <v>19</v>
      </c>
      <c r="C28" s="16"/>
      <c r="D28" s="16"/>
      <c r="E28" s="16"/>
    </row>
  </sheetData>
  <mergeCells count="17">
    <mergeCell ref="B13:E14"/>
    <mergeCell ref="C22:E22"/>
    <mergeCell ref="B28:E28"/>
    <mergeCell ref="B15:E15"/>
    <mergeCell ref="B16:E17"/>
    <mergeCell ref="B24:E26"/>
    <mergeCell ref="B19:E19"/>
    <mergeCell ref="C21:E21"/>
    <mergeCell ref="C20:E20"/>
    <mergeCell ref="A2:F2"/>
    <mergeCell ref="B9:E9"/>
    <mergeCell ref="B4:E4"/>
    <mergeCell ref="B12:E12"/>
    <mergeCell ref="A1:F1"/>
    <mergeCell ref="B6:E6"/>
    <mergeCell ref="B7:E8"/>
    <mergeCell ref="B10:E11"/>
  </mergeCells>
  <hyperlinks>
    <hyperlink ref="B6" location="'Weekly log'!A6" display="Open the Weekly log" xr:uid="{00000000-0004-0000-0000-000000000000}"/>
    <hyperlink ref="B28" location="'Overview'!A6" display="Jump to the member-by-week overview" xr:uid="{00000000-0004-0000-0000-000001000000}"/>
  </hyperlinks>
  <printOptions horizontalCentered="1"/>
  <pageMargins left="0.75" right="0.75" top="1" bottom="1" header="0.5" footer="0.5"/>
  <pageSetup paperSize="9" scale="75" orientation="portrait" r:id="rId1"/>
  <headerFooter>
    <oddFooter>&amp;CMarketStreet · Team performance tracker&amp;RPage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3A51"/>
    <outlinePr summaryRight="0"/>
    <pageSetUpPr fitToPage="1"/>
  </sheetPr>
  <dimension ref="A1:I22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7" customWidth="1"/>
    <col min="2" max="8" width="18" customWidth="1"/>
  </cols>
  <sheetData>
    <row r="1" spans="1:9" ht="48" customHeight="1" x14ac:dyDescent="0.35">
      <c r="A1" s="19" t="s">
        <v>20</v>
      </c>
      <c r="B1" s="16"/>
      <c r="C1" s="16"/>
      <c r="D1" s="16"/>
      <c r="E1" s="16"/>
      <c r="F1" s="16"/>
      <c r="G1" s="16"/>
      <c r="H1" s="16"/>
    </row>
    <row r="2" spans="1:9" ht="34" customHeight="1" x14ac:dyDescent="0.35">
      <c r="A2" s="15" t="s">
        <v>21</v>
      </c>
      <c r="B2" s="16"/>
      <c r="C2" s="16"/>
      <c r="D2" s="16"/>
      <c r="E2" s="16"/>
      <c r="F2" s="16"/>
      <c r="G2" s="16"/>
      <c r="H2" s="16"/>
    </row>
    <row r="3" spans="1:9" ht="12" customHeight="1" x14ac:dyDescent="0.35"/>
    <row r="4" spans="1:9" ht="30" customHeight="1" x14ac:dyDescent="0.35">
      <c r="A4" s="24" t="s">
        <v>22</v>
      </c>
      <c r="B4" s="16"/>
      <c r="C4" s="16"/>
      <c r="D4" s="16"/>
      <c r="E4" s="16"/>
      <c r="F4" s="16"/>
      <c r="G4" s="16"/>
      <c r="H4" s="16"/>
    </row>
    <row r="6" spans="1:9" ht="32" customHeight="1" x14ac:dyDescent="0.3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122</v>
      </c>
    </row>
    <row r="7" spans="1:9" ht="37" customHeight="1" x14ac:dyDescent="0.35">
      <c r="A7" s="6" t="str">
        <f>Team!A7</f>
        <v>Austin Tran Nguyen</v>
      </c>
      <c r="B7" s="1" t="str">
        <f>IFERROR(HYPERLINK("#'Weekly log'!A"&amp;(MATCH(1,INDEX(('Weekly log'!$A$7:$A$1000=B$6)*('Weekly log'!$B$7:$B$1000=$A7),0),0)+6),IF(COUNTIFS('Weekly log'!$A$7:$A$1000,B$6,'Weekly log'!$B$7:$B$1000,$A7)=0,"Missing",IF(COUNTIFS('Weekly log'!$A$7:$A$1000,B$6,'Weekly log'!$B$7:$B$1000,$A7,'Weekly log'!$E$7:$E$1000,"Delivered")&gt;0,"Delivered",IF(COUNTIFS('Weekly log'!$A$7:$A$1000,B$6,'Weekly log'!$B$7:$B$1000,$A7,'Weekly log'!$E$7:$E$1000,"Supported")&gt;0,"Supported","Unverified")))),"Missing")</f>
        <v>Delivered</v>
      </c>
      <c r="C7" s="1" t="str">
        <f>IFERROR(HYPERLINK("#'Weekly log'!A"&amp;(MATCH(1,INDEX(('Weekly log'!$A$7:$A$1000=C$6)*('Weekly log'!$B$7:$B$1000=$A7),0),0)+6),IF(COUNTIFS('Weekly log'!$A$7:$A$1000,C$6,'Weekly log'!$B$7:$B$1000,$A7)=0,"Missing",IF(COUNTIFS('Weekly log'!$A$7:$A$1000,C$6,'Weekly log'!$B$7:$B$1000,$A7,'Weekly log'!$E$7:$E$1000,"Delivered")&gt;0,"Delivered",IF(COUNTIFS('Weekly log'!$A$7:$A$1000,C$6,'Weekly log'!$B$7:$B$1000,$A7,'Weekly log'!$E$7:$E$1000,"Supported")&gt;0,"Supported","Unverified")))),"Missing")</f>
        <v>Delivered</v>
      </c>
      <c r="D7" s="1" t="str">
        <f>IFERROR(HYPERLINK("#'Weekly log'!A"&amp;(MATCH(1,INDEX(('Weekly log'!$A$7:$A$1000=D$6)*('Weekly log'!$B$7:$B$1000=$A7),0),0)+6),IF(COUNTIFS('Weekly log'!$A$7:$A$1000,D$6,'Weekly log'!$B$7:$B$1000,$A7)=0,"Missing",IF(COUNTIFS('Weekly log'!$A$7:$A$1000,D$6,'Weekly log'!$B$7:$B$1000,$A7,'Weekly log'!$E$7:$E$1000,"Delivered")&gt;0,"Delivered",IF(COUNTIFS('Weekly log'!$A$7:$A$1000,D$6,'Weekly log'!$B$7:$B$1000,$A7,'Weekly log'!$E$7:$E$1000,"Supported")&gt;0,"Supported","Unverified")))),"Missing")</f>
        <v>Delivered</v>
      </c>
      <c r="E7" s="1" t="str">
        <f>IFERROR(HYPERLINK("#'Weekly log'!A"&amp;(MATCH(1,INDEX(('Weekly log'!$A$7:$A$1000=E$6)*('Weekly log'!$B$7:$B$1000=$A7),0),0)+6),IF(COUNTIFS('Weekly log'!$A$7:$A$1000,E$6,'Weekly log'!$B$7:$B$1000,$A7)=0,"Missing",IF(COUNTIFS('Weekly log'!$A$7:$A$1000,E$6,'Weekly log'!$B$7:$B$1000,$A7,'Weekly log'!$E$7:$E$1000,"Delivered")&gt;0,"Delivered",IF(COUNTIFS('Weekly log'!$A$7:$A$1000,E$6,'Weekly log'!$B$7:$B$1000,$A7,'Weekly log'!$E$7:$E$1000,"Supported")&gt;0,"Supported","Unverified")))),"Missing")</f>
        <v>Delivered</v>
      </c>
      <c r="F7" s="1" t="str">
        <f>IFERROR(HYPERLINK("#'Weekly log'!A"&amp;(MATCH(1,INDEX(('Weekly log'!$A$7:$A$1000=F$6)*('Weekly log'!$B$7:$B$1000=$A7),0),0)+6),IF(COUNTIFS('Weekly log'!$A$7:$A$1000,F$6,'Weekly log'!$B$7:$B$1000,$A7)=0,"Missing",IF(COUNTIFS('Weekly log'!$A$7:$A$1000,F$6,'Weekly log'!$B$7:$B$1000,$A7,'Weekly log'!$E$7:$E$1000,"Delivered")&gt;0,"Delivered",IF(COUNTIFS('Weekly log'!$A$7:$A$1000,F$6,'Weekly log'!$B$7:$B$1000,$A7,'Weekly log'!$E$7:$E$1000,"Supported")&gt;0,"Supported","Unverified")))),"Missing")</f>
        <v>Delivered</v>
      </c>
      <c r="G7" s="1" t="str">
        <f>IFERROR(HYPERLINK("#'Weekly log'!A"&amp;(MATCH(1,INDEX(('Weekly log'!$A$7:$A$1000=G$6)*('Weekly log'!$B$7:$B$1000=$A7),0),0)+6),IF(COUNTIFS('Weekly log'!$A$7:$A$1000,G$6,'Weekly log'!$B$7:$B$1000,$A7)=0,"Missing",IF(COUNTIFS('Weekly log'!$A$7:$A$1000,G$6,'Weekly log'!$B$7:$B$1000,$A7,'Weekly log'!$E$7:$E$1000,"Delivered")&gt;0,"Delivered",IF(COUNTIFS('Weekly log'!$A$7:$A$1000,G$6,'Weekly log'!$B$7:$B$1000,$A7,'Weekly log'!$E$7:$E$1000,"Supported")&gt;0,"Supported","Unverified")))),"Missing")</f>
        <v>Unverified</v>
      </c>
      <c r="H7" s="1" t="str">
        <f>IFERROR(HYPERLINK("#'Weekly log'!A"&amp;(MATCH(1,INDEX(('Weekly log'!$A$7:$A$1000=H$6)*('Weekly log'!$B$7:$B$1000=$A7),0),0)+6),IF(COUNTIFS('Weekly log'!$A$7:$A$1000,H$6,'Weekly log'!$B$7:$B$1000,$A7)=0,"Missing",IF(COUNTIFS('Weekly log'!$A$7:$A$1000,H$6,'Weekly log'!$B$7:$B$1000,$A7,'Weekly log'!$E$7:$E$1000,"Delivered")&gt;0,"Delivered",IF(COUNTIFS('Weekly log'!$A$7:$A$1000,H$6,'Weekly log'!$B$7:$B$1000,$A7,'Weekly log'!$E$7:$E$1000,"Supported")&gt;0,"Supported","Unverified")))),"Missing")</f>
        <v>Supported</v>
      </c>
      <c r="I7" s="1" t="str">
        <f>IFERROR(HYPERLINK("#'Weekly log'!A"&amp;(MATCH(1,INDEX(('Weekly log'!$A$7:$A$1000=I$6)*('Weekly log'!$B$7:$B$1000=$A7),0),0)+6),IF(COUNTIFS('Weekly log'!$A$7:$A$1000,I$6,'Weekly log'!$B$7:$B$1000,$A7)=0,"Missing",IF(COUNTIFS('Weekly log'!$A$7:$A$1000,I$6,'Weekly log'!$B$7:$B$1000,$A7,'Weekly log'!$E$7:$E$1000,"Delivered")&gt;0,"Delivered",IF(COUNTIFS('Weekly log'!$A$7:$A$1000,I$6,'Weekly log'!$B$7:$B$1000,$A7,'Weekly log'!$E$7:$E$1000,"Supported")&gt;0,"Supported","Unverified")))),"Missing")</f>
        <v>Delivered</v>
      </c>
    </row>
    <row r="8" spans="1:9" ht="37" customHeight="1" x14ac:dyDescent="0.35">
      <c r="A8" s="6" t="str">
        <f>Team!A8</f>
        <v>Sophia Musetti</v>
      </c>
      <c r="B8" s="1" t="str">
        <f>IFERROR(HYPERLINK("#'Weekly log'!A"&amp;(MATCH(1,INDEX(('Weekly log'!$A$7:$A$1000=B$6)*('Weekly log'!$B$7:$B$1000=$A8),0),0)+6),IF(COUNTIFS('Weekly log'!$A$7:$A$1000,B$6,'Weekly log'!$B$7:$B$1000,$A8)=0,"Missing",IF(COUNTIFS('Weekly log'!$A$7:$A$1000,B$6,'Weekly log'!$B$7:$B$1000,$A8,'Weekly log'!$E$7:$E$1000,"Delivered")&gt;0,"Delivered",IF(COUNTIFS('Weekly log'!$A$7:$A$1000,B$6,'Weekly log'!$B$7:$B$1000,$A8,'Weekly log'!$E$7:$E$1000,"Supported")&gt;0,"Supported","Unverified")))),"Missing")</f>
        <v>Delivered</v>
      </c>
      <c r="C8" s="1" t="str">
        <f>IFERROR(HYPERLINK("#'Weekly log'!A"&amp;(MATCH(1,INDEX(('Weekly log'!$A$7:$A$1000=C$6)*('Weekly log'!$B$7:$B$1000=$A8),0),0)+6),IF(COUNTIFS('Weekly log'!$A$7:$A$1000,C$6,'Weekly log'!$B$7:$B$1000,$A8)=0,"Missing",IF(COUNTIFS('Weekly log'!$A$7:$A$1000,C$6,'Weekly log'!$B$7:$B$1000,$A8,'Weekly log'!$E$7:$E$1000,"Delivered")&gt;0,"Delivered",IF(COUNTIFS('Weekly log'!$A$7:$A$1000,C$6,'Weekly log'!$B$7:$B$1000,$A8,'Weekly log'!$E$7:$E$1000,"Supported")&gt;0,"Supported","Unverified")))),"Missing")</f>
        <v>Supported</v>
      </c>
      <c r="D8" s="1" t="str">
        <f>IFERROR(HYPERLINK("#'Weekly log'!A"&amp;(MATCH(1,INDEX(('Weekly log'!$A$7:$A$1000=D$6)*('Weekly log'!$B$7:$B$1000=$A8),0),0)+6),IF(COUNTIFS('Weekly log'!$A$7:$A$1000,D$6,'Weekly log'!$B$7:$B$1000,$A8)=0,"Missing",IF(COUNTIFS('Weekly log'!$A$7:$A$1000,D$6,'Weekly log'!$B$7:$B$1000,$A8,'Weekly log'!$E$7:$E$1000,"Delivered")&gt;0,"Delivered",IF(COUNTIFS('Weekly log'!$A$7:$A$1000,D$6,'Weekly log'!$B$7:$B$1000,$A8,'Weekly log'!$E$7:$E$1000,"Supported")&gt;0,"Supported","Unverified")))),"Missing")</f>
        <v>Delivered</v>
      </c>
      <c r="E8" s="1" t="str">
        <f>IFERROR(HYPERLINK("#'Weekly log'!A"&amp;(MATCH(1,INDEX(('Weekly log'!$A$7:$A$1000=E$6)*('Weekly log'!$B$7:$B$1000=$A8),0),0)+6),IF(COUNTIFS('Weekly log'!$A$7:$A$1000,E$6,'Weekly log'!$B$7:$B$1000,$A8)=0,"Missing",IF(COUNTIFS('Weekly log'!$A$7:$A$1000,E$6,'Weekly log'!$B$7:$B$1000,$A8,'Weekly log'!$E$7:$E$1000,"Delivered")&gt;0,"Delivered",IF(COUNTIFS('Weekly log'!$A$7:$A$1000,E$6,'Weekly log'!$B$7:$B$1000,$A8,'Weekly log'!$E$7:$E$1000,"Supported")&gt;0,"Supported","Unverified")))),"Missing")</f>
        <v>Delivered</v>
      </c>
      <c r="F8" s="1" t="str">
        <f>IFERROR(HYPERLINK("#'Weekly log'!A"&amp;(MATCH(1,INDEX(('Weekly log'!$A$7:$A$1000=F$6)*('Weekly log'!$B$7:$B$1000=$A8),0),0)+6),IF(COUNTIFS('Weekly log'!$A$7:$A$1000,F$6,'Weekly log'!$B$7:$B$1000,$A8)=0,"Missing",IF(COUNTIFS('Weekly log'!$A$7:$A$1000,F$6,'Weekly log'!$B$7:$B$1000,$A8,'Weekly log'!$E$7:$E$1000,"Delivered")&gt;0,"Delivered",IF(COUNTIFS('Weekly log'!$A$7:$A$1000,F$6,'Weekly log'!$B$7:$B$1000,$A8,'Weekly log'!$E$7:$E$1000,"Supported")&gt;0,"Supported","Unverified")))),"Missing")</f>
        <v>Unverified</v>
      </c>
      <c r="G8" s="1" t="str">
        <f>IFERROR(HYPERLINK("#'Weekly log'!A"&amp;(MATCH(1,INDEX(('Weekly log'!$A$7:$A$1000=G$6)*('Weekly log'!$B$7:$B$1000=$A8),0),0)+6),IF(COUNTIFS('Weekly log'!$A$7:$A$1000,G$6,'Weekly log'!$B$7:$B$1000,$A8)=0,"Missing",IF(COUNTIFS('Weekly log'!$A$7:$A$1000,G$6,'Weekly log'!$B$7:$B$1000,$A8,'Weekly log'!$E$7:$E$1000,"Delivered")&gt;0,"Delivered",IF(COUNTIFS('Weekly log'!$A$7:$A$1000,G$6,'Weekly log'!$B$7:$B$1000,$A8,'Weekly log'!$E$7:$E$1000,"Supported")&gt;0,"Supported","Unverified")))),"Missing")</f>
        <v>Delivered</v>
      </c>
      <c r="H8" s="1" t="str">
        <f>IFERROR(HYPERLINK("#'Weekly log'!A"&amp;(MATCH(1,INDEX(('Weekly log'!$A$7:$A$1000=H$6)*('Weekly log'!$B$7:$B$1000=$A8),0),0)+6),IF(COUNTIFS('Weekly log'!$A$7:$A$1000,H$6,'Weekly log'!$B$7:$B$1000,$A8)=0,"Missing",IF(COUNTIFS('Weekly log'!$A$7:$A$1000,H$6,'Weekly log'!$B$7:$B$1000,$A8,'Weekly log'!$E$7:$E$1000,"Delivered")&gt;0,"Delivered",IF(COUNTIFS('Weekly log'!$A$7:$A$1000,H$6,'Weekly log'!$B$7:$B$1000,$A8,'Weekly log'!$E$7:$E$1000,"Supported")&gt;0,"Supported","Unverified")))),"Missing")</f>
        <v>Delivered</v>
      </c>
      <c r="I8" s="1" t="str">
        <f>IFERROR(HYPERLINK("#'Weekly log'!A"&amp;(MATCH(1,INDEX(('Weekly log'!$A$7:$A$1000=I$6)*('Weekly log'!$B$7:$B$1000=$A8),0),0)+6),IF(COUNTIFS('Weekly log'!$A$7:$A$1000,I$6,'Weekly log'!$B$7:$B$1000,$A8)=0,"Missing",IF(COUNTIFS('Weekly log'!$A$7:$A$1000,I$6,'Weekly log'!$B$7:$B$1000,$A8,'Weekly log'!$E$7:$E$1000,"Delivered")&gt;0,"Delivered",IF(COUNTIFS('Weekly log'!$A$7:$A$1000,I$6,'Weekly log'!$B$7:$B$1000,$A8,'Weekly log'!$E$7:$E$1000,"Supported")&gt;0,"Supported","Unverified")))),"Missing")</f>
        <v>Delivered</v>
      </c>
    </row>
    <row r="9" spans="1:9" ht="37" customHeight="1" x14ac:dyDescent="0.35">
      <c r="A9" s="6" t="str">
        <f>Team!A9</f>
        <v>Arya Nair</v>
      </c>
      <c r="B9" s="1" t="str">
        <f>IFERROR(HYPERLINK("#'Weekly log'!A"&amp;(MATCH(1,INDEX(('Weekly log'!$A$7:$A$1000=B$6)*('Weekly log'!$B$7:$B$1000=$A9),0),0)+6),IF(COUNTIFS('Weekly log'!$A$7:$A$1000,B$6,'Weekly log'!$B$7:$B$1000,$A9)=0,"Missing",IF(COUNTIFS('Weekly log'!$A$7:$A$1000,B$6,'Weekly log'!$B$7:$B$1000,$A9,'Weekly log'!$E$7:$E$1000,"Delivered")&gt;0,"Delivered",IF(COUNTIFS('Weekly log'!$A$7:$A$1000,B$6,'Weekly log'!$B$7:$B$1000,$A9,'Weekly log'!$E$7:$E$1000,"Supported")&gt;0,"Supported","Unverified")))),"Missing")</f>
        <v>Delivered</v>
      </c>
      <c r="C9" s="1" t="str">
        <f>IFERROR(HYPERLINK("#'Weekly log'!A"&amp;(MATCH(1,INDEX(('Weekly log'!$A$7:$A$1000=C$6)*('Weekly log'!$B$7:$B$1000=$A9),0),0)+6),IF(COUNTIFS('Weekly log'!$A$7:$A$1000,C$6,'Weekly log'!$B$7:$B$1000,$A9)=0,"Missing",IF(COUNTIFS('Weekly log'!$A$7:$A$1000,C$6,'Weekly log'!$B$7:$B$1000,$A9,'Weekly log'!$E$7:$E$1000,"Delivered")&gt;0,"Delivered",IF(COUNTIFS('Weekly log'!$A$7:$A$1000,C$6,'Weekly log'!$B$7:$B$1000,$A9,'Weekly log'!$E$7:$E$1000,"Supported")&gt;0,"Supported","Unverified")))),"Missing")</f>
        <v>Unverified</v>
      </c>
      <c r="D9" s="1" t="str">
        <f>IFERROR(HYPERLINK("#'Weekly log'!A"&amp;(MATCH(1,INDEX(('Weekly log'!$A$7:$A$1000=D$6)*('Weekly log'!$B$7:$B$1000=$A9),0),0)+6),IF(COUNTIFS('Weekly log'!$A$7:$A$1000,D$6,'Weekly log'!$B$7:$B$1000,$A9)=0,"Missing",IF(COUNTIFS('Weekly log'!$A$7:$A$1000,D$6,'Weekly log'!$B$7:$B$1000,$A9,'Weekly log'!$E$7:$E$1000,"Delivered")&gt;0,"Delivered",IF(COUNTIFS('Weekly log'!$A$7:$A$1000,D$6,'Weekly log'!$B$7:$B$1000,$A9,'Weekly log'!$E$7:$E$1000,"Supported")&gt;0,"Supported","Unverified")))),"Missing")</f>
        <v>Supported</v>
      </c>
      <c r="E9" s="1" t="str">
        <f>IFERROR(HYPERLINK("#'Weekly log'!A"&amp;(MATCH(1,INDEX(('Weekly log'!$A$7:$A$1000=E$6)*('Weekly log'!$B$7:$B$1000=$A9),0),0)+6),IF(COUNTIFS('Weekly log'!$A$7:$A$1000,E$6,'Weekly log'!$B$7:$B$1000,$A9)=0,"Missing",IF(COUNTIFS('Weekly log'!$A$7:$A$1000,E$6,'Weekly log'!$B$7:$B$1000,$A9,'Weekly log'!$E$7:$E$1000,"Delivered")&gt;0,"Delivered",IF(COUNTIFS('Weekly log'!$A$7:$A$1000,E$6,'Weekly log'!$B$7:$B$1000,$A9,'Weekly log'!$E$7:$E$1000,"Supported")&gt;0,"Supported","Unverified")))),"Missing")</f>
        <v>Unverified</v>
      </c>
      <c r="F9" s="1" t="str">
        <f>IFERROR(HYPERLINK("#'Weekly log'!A"&amp;(MATCH(1,INDEX(('Weekly log'!$A$7:$A$1000=F$6)*('Weekly log'!$B$7:$B$1000=$A9),0),0)+6),IF(COUNTIFS('Weekly log'!$A$7:$A$1000,F$6,'Weekly log'!$B$7:$B$1000,$A9)=0,"Missing",IF(COUNTIFS('Weekly log'!$A$7:$A$1000,F$6,'Weekly log'!$B$7:$B$1000,$A9,'Weekly log'!$E$7:$E$1000,"Delivered")&gt;0,"Delivered",IF(COUNTIFS('Weekly log'!$A$7:$A$1000,F$6,'Weekly log'!$B$7:$B$1000,$A9,'Weekly log'!$E$7:$E$1000,"Supported")&gt;0,"Supported","Unverified")))),"Missing")</f>
        <v>Unverified</v>
      </c>
      <c r="G9" s="1" t="str">
        <f>IFERROR(HYPERLINK("#'Weekly log'!A"&amp;(MATCH(1,INDEX(('Weekly log'!$A$7:$A$1000=G$6)*('Weekly log'!$B$7:$B$1000=$A9),0),0)+6),IF(COUNTIFS('Weekly log'!$A$7:$A$1000,G$6,'Weekly log'!$B$7:$B$1000,$A9)=0,"Missing",IF(COUNTIFS('Weekly log'!$A$7:$A$1000,G$6,'Weekly log'!$B$7:$B$1000,$A9,'Weekly log'!$E$7:$E$1000,"Delivered")&gt;0,"Delivered",IF(COUNTIFS('Weekly log'!$A$7:$A$1000,G$6,'Weekly log'!$B$7:$B$1000,$A9,'Weekly log'!$E$7:$E$1000,"Supported")&gt;0,"Supported","Unverified")))),"Missing")</f>
        <v>Unverified</v>
      </c>
      <c r="H9" s="1" t="str">
        <f>IFERROR(HYPERLINK("#'Weekly log'!A"&amp;(MATCH(1,INDEX(('Weekly log'!$A$7:$A$1000=H$6)*('Weekly log'!$B$7:$B$1000=$A9),0),0)+6),IF(COUNTIFS('Weekly log'!$A$7:$A$1000,H$6,'Weekly log'!$B$7:$B$1000,$A9)=0,"Missing",IF(COUNTIFS('Weekly log'!$A$7:$A$1000,H$6,'Weekly log'!$B$7:$B$1000,$A9,'Weekly log'!$E$7:$E$1000,"Delivered")&gt;0,"Delivered",IF(COUNTIFS('Weekly log'!$A$7:$A$1000,H$6,'Weekly log'!$B$7:$B$1000,$A9,'Weekly log'!$E$7:$E$1000,"Supported")&gt;0,"Supported","Unverified")))),"Missing")</f>
        <v>Unverified</v>
      </c>
      <c r="I9" s="1" t="str">
        <f>IFERROR(HYPERLINK("#'Weekly log'!A"&amp;(MATCH(1,INDEX(('Weekly log'!$A$7:$A$1000=I$6)*('Weekly log'!$B$7:$B$1000=$A9),0),0)+6),IF(COUNTIFS('Weekly log'!$A$7:$A$1000,I$6,'Weekly log'!$B$7:$B$1000,$A9)=0,"Missing",IF(COUNTIFS('Weekly log'!$A$7:$A$1000,I$6,'Weekly log'!$B$7:$B$1000,$A9,'Weekly log'!$E$7:$E$1000,"Delivered")&gt;0,"Delivered",IF(COUNTIFS('Weekly log'!$A$7:$A$1000,I$6,'Weekly log'!$B$7:$B$1000,$A9,'Weekly log'!$E$7:$E$1000,"Supported")&gt;0,"Supported","Unverified")))),"Missing")</f>
        <v>Delivered</v>
      </c>
    </row>
    <row r="10" spans="1:9" ht="37" customHeight="1" x14ac:dyDescent="0.35">
      <c r="A10" s="6" t="str">
        <f>Team!A10</f>
        <v>Benjamin Nguyen</v>
      </c>
      <c r="B10" s="1" t="str">
        <f>IFERROR(HYPERLINK("#'Weekly log'!A"&amp;(MATCH(1,INDEX(('Weekly log'!$A$7:$A$1000=B$6)*('Weekly log'!$B$7:$B$1000=$A10),0),0)+6),IF(COUNTIFS('Weekly log'!$A$7:$A$1000,B$6,'Weekly log'!$B$7:$B$1000,$A10)=0,"Missing",IF(COUNTIFS('Weekly log'!$A$7:$A$1000,B$6,'Weekly log'!$B$7:$B$1000,$A10,'Weekly log'!$E$7:$E$1000,"Delivered")&gt;0,"Delivered",IF(COUNTIFS('Weekly log'!$A$7:$A$1000,B$6,'Weekly log'!$B$7:$B$1000,$A10,'Weekly log'!$E$7:$E$1000,"Supported")&gt;0,"Supported","Unverified")))),"Missing")</f>
        <v>Delivered</v>
      </c>
      <c r="C10" s="1" t="str">
        <f>IFERROR(HYPERLINK("#'Weekly log'!A"&amp;(MATCH(1,INDEX(('Weekly log'!$A$7:$A$1000=C$6)*('Weekly log'!$B$7:$B$1000=$A10),0),0)+6),IF(COUNTIFS('Weekly log'!$A$7:$A$1000,C$6,'Weekly log'!$B$7:$B$1000,$A10)=0,"Missing",IF(COUNTIFS('Weekly log'!$A$7:$A$1000,C$6,'Weekly log'!$B$7:$B$1000,$A10,'Weekly log'!$E$7:$E$1000,"Delivered")&gt;0,"Delivered",IF(COUNTIFS('Weekly log'!$A$7:$A$1000,C$6,'Weekly log'!$B$7:$B$1000,$A10,'Weekly log'!$E$7:$E$1000,"Supported")&gt;0,"Supported","Unverified")))),"Missing")</f>
        <v>Supported</v>
      </c>
      <c r="D10" s="1" t="str">
        <f>IFERROR(HYPERLINK("#'Weekly log'!A"&amp;(MATCH(1,INDEX(('Weekly log'!$A$7:$A$1000=D$6)*('Weekly log'!$B$7:$B$1000=$A10),0),0)+6),IF(COUNTIFS('Weekly log'!$A$7:$A$1000,D$6,'Weekly log'!$B$7:$B$1000,$A10)=0,"Missing",IF(COUNTIFS('Weekly log'!$A$7:$A$1000,D$6,'Weekly log'!$B$7:$B$1000,$A10,'Weekly log'!$E$7:$E$1000,"Delivered")&gt;0,"Delivered",IF(COUNTIFS('Weekly log'!$A$7:$A$1000,D$6,'Weekly log'!$B$7:$B$1000,$A10,'Weekly log'!$E$7:$E$1000,"Supported")&gt;0,"Supported","Unverified")))),"Missing")</f>
        <v>Unverified</v>
      </c>
      <c r="E10" s="1" t="str">
        <f>IFERROR(HYPERLINK("#'Weekly log'!A"&amp;(MATCH(1,INDEX(('Weekly log'!$A$7:$A$1000=E$6)*('Weekly log'!$B$7:$B$1000=$A10),0),0)+6),IF(COUNTIFS('Weekly log'!$A$7:$A$1000,E$6,'Weekly log'!$B$7:$B$1000,$A10)=0,"Missing",IF(COUNTIFS('Weekly log'!$A$7:$A$1000,E$6,'Weekly log'!$B$7:$B$1000,$A10,'Weekly log'!$E$7:$E$1000,"Delivered")&gt;0,"Delivered",IF(COUNTIFS('Weekly log'!$A$7:$A$1000,E$6,'Weekly log'!$B$7:$B$1000,$A10,'Weekly log'!$E$7:$E$1000,"Supported")&gt;0,"Supported","Unverified")))),"Missing")</f>
        <v>Supported</v>
      </c>
      <c r="F10" s="1" t="str">
        <f>IFERROR(HYPERLINK("#'Weekly log'!A"&amp;(MATCH(1,INDEX(('Weekly log'!$A$7:$A$1000=F$6)*('Weekly log'!$B$7:$B$1000=$A10),0),0)+6),IF(COUNTIFS('Weekly log'!$A$7:$A$1000,F$6,'Weekly log'!$B$7:$B$1000,$A10)=0,"Missing",IF(COUNTIFS('Weekly log'!$A$7:$A$1000,F$6,'Weekly log'!$B$7:$B$1000,$A10,'Weekly log'!$E$7:$E$1000,"Delivered")&gt;0,"Delivered",IF(COUNTIFS('Weekly log'!$A$7:$A$1000,F$6,'Weekly log'!$B$7:$B$1000,$A10,'Weekly log'!$E$7:$E$1000,"Supported")&gt;0,"Supported","Unverified")))),"Missing")</f>
        <v>Supported</v>
      </c>
      <c r="G10" s="1" t="str">
        <f>IFERROR(HYPERLINK("#'Weekly log'!A"&amp;(MATCH(1,INDEX(('Weekly log'!$A$7:$A$1000=G$6)*('Weekly log'!$B$7:$B$1000=$A10),0),0)+6),IF(COUNTIFS('Weekly log'!$A$7:$A$1000,G$6,'Weekly log'!$B$7:$B$1000,$A10)=0,"Missing",IF(COUNTIFS('Weekly log'!$A$7:$A$1000,G$6,'Weekly log'!$B$7:$B$1000,$A10,'Weekly log'!$E$7:$E$1000,"Delivered")&gt;0,"Delivered",IF(COUNTIFS('Weekly log'!$A$7:$A$1000,G$6,'Weekly log'!$B$7:$B$1000,$A10,'Weekly log'!$E$7:$E$1000,"Supported")&gt;0,"Supported","Unverified")))),"Missing")</f>
        <v>Supported</v>
      </c>
      <c r="H10" s="1" t="str">
        <f>IFERROR(HYPERLINK("#'Weekly log'!A"&amp;(MATCH(1,INDEX(('Weekly log'!$A$7:$A$1000=H$6)*('Weekly log'!$B$7:$B$1000=$A10),0),0)+6),IF(COUNTIFS('Weekly log'!$A$7:$A$1000,H$6,'Weekly log'!$B$7:$B$1000,$A10)=0,"Missing",IF(COUNTIFS('Weekly log'!$A$7:$A$1000,H$6,'Weekly log'!$B$7:$B$1000,$A10,'Weekly log'!$E$7:$E$1000,"Delivered")&gt;0,"Delivered",IF(COUNTIFS('Weekly log'!$A$7:$A$1000,H$6,'Weekly log'!$B$7:$B$1000,$A10,'Weekly log'!$E$7:$E$1000,"Supported")&gt;0,"Supported","Unverified")))),"Missing")</f>
        <v>Unverified</v>
      </c>
      <c r="I10" s="1" t="str">
        <f>IFERROR(HYPERLINK("#'Weekly log'!A"&amp;(MATCH(1,INDEX(('Weekly log'!$A$7:$A$1000=I$6)*('Weekly log'!$B$7:$B$1000=$A10),0),0)+6),IF(COUNTIFS('Weekly log'!$A$7:$A$1000,I$6,'Weekly log'!$B$7:$B$1000,$A10)=0,"Missing",IF(COUNTIFS('Weekly log'!$A$7:$A$1000,I$6,'Weekly log'!$B$7:$B$1000,$A10,'Weekly log'!$E$7:$E$1000,"Delivered")&gt;0,"Delivered",IF(COUNTIFS('Weekly log'!$A$7:$A$1000,I$6,'Weekly log'!$B$7:$B$1000,$A10,'Weekly log'!$E$7:$E$1000,"Supported")&gt;0,"Supported","Unverified")))),"Missing")</f>
        <v>Delivered</v>
      </c>
    </row>
    <row r="11" spans="1:9" ht="37" customHeight="1" x14ac:dyDescent="0.35">
      <c r="A11" s="6" t="str">
        <f>Team!A11</f>
        <v>Shayaan M. Dawra</v>
      </c>
      <c r="B11" s="1" t="str">
        <f>IFERROR(HYPERLINK("#'Weekly log'!A"&amp;(MATCH(1,INDEX(('Weekly log'!$A$7:$A$1000=B$6)*('Weekly log'!$B$7:$B$1000=$A11),0),0)+6),IF(COUNTIFS('Weekly log'!$A$7:$A$1000,B$6,'Weekly log'!$B$7:$B$1000,$A11)=0,"Missing",IF(COUNTIFS('Weekly log'!$A$7:$A$1000,B$6,'Weekly log'!$B$7:$B$1000,$A11,'Weekly log'!$E$7:$E$1000,"Delivered")&gt;0,"Delivered",IF(COUNTIFS('Weekly log'!$A$7:$A$1000,B$6,'Weekly log'!$B$7:$B$1000,$A11,'Weekly log'!$E$7:$E$1000,"Supported")&gt;0,"Supported","Unverified")))),"Missing")</f>
        <v>Delivered</v>
      </c>
      <c r="C11" s="1" t="str">
        <f>IFERROR(HYPERLINK("#'Weekly log'!A"&amp;(MATCH(1,INDEX(('Weekly log'!$A$7:$A$1000=C$6)*('Weekly log'!$B$7:$B$1000=$A11),0),0)+6),IF(COUNTIFS('Weekly log'!$A$7:$A$1000,C$6,'Weekly log'!$B$7:$B$1000,$A11)=0,"Missing",IF(COUNTIFS('Weekly log'!$A$7:$A$1000,C$6,'Weekly log'!$B$7:$B$1000,$A11,'Weekly log'!$E$7:$E$1000,"Delivered")&gt;0,"Delivered",IF(COUNTIFS('Weekly log'!$A$7:$A$1000,C$6,'Weekly log'!$B$7:$B$1000,$A11,'Weekly log'!$E$7:$E$1000,"Supported")&gt;0,"Supported","Unverified")))),"Missing")</f>
        <v>Unverified</v>
      </c>
      <c r="D11" s="1" t="str">
        <f>IFERROR(HYPERLINK("#'Weekly log'!A"&amp;(MATCH(1,INDEX(('Weekly log'!$A$7:$A$1000=D$6)*('Weekly log'!$B$7:$B$1000=$A11),0),0)+6),IF(COUNTIFS('Weekly log'!$A$7:$A$1000,D$6,'Weekly log'!$B$7:$B$1000,$A11)=0,"Missing",IF(COUNTIFS('Weekly log'!$A$7:$A$1000,D$6,'Weekly log'!$B$7:$B$1000,$A11,'Weekly log'!$E$7:$E$1000,"Delivered")&gt;0,"Delivered",IF(COUNTIFS('Weekly log'!$A$7:$A$1000,D$6,'Weekly log'!$B$7:$B$1000,$A11,'Weekly log'!$E$7:$E$1000,"Supported")&gt;0,"Supported","Unverified")))),"Missing")</f>
        <v>Unverified</v>
      </c>
      <c r="E11" s="1" t="str">
        <f>IFERROR(HYPERLINK("#'Weekly log'!A"&amp;(MATCH(1,INDEX(('Weekly log'!$A$7:$A$1000=E$6)*('Weekly log'!$B$7:$B$1000=$A11),0),0)+6),IF(COUNTIFS('Weekly log'!$A$7:$A$1000,E$6,'Weekly log'!$B$7:$B$1000,$A11)=0,"Missing",IF(COUNTIFS('Weekly log'!$A$7:$A$1000,E$6,'Weekly log'!$B$7:$B$1000,$A11,'Weekly log'!$E$7:$E$1000,"Delivered")&gt;0,"Delivered",IF(COUNTIFS('Weekly log'!$A$7:$A$1000,E$6,'Weekly log'!$B$7:$B$1000,$A11,'Weekly log'!$E$7:$E$1000,"Supported")&gt;0,"Supported","Unverified")))),"Missing")</f>
        <v>Unverified</v>
      </c>
      <c r="F11" s="1" t="str">
        <f>IFERROR(HYPERLINK("#'Weekly log'!A"&amp;(MATCH(1,INDEX(('Weekly log'!$A$7:$A$1000=F$6)*('Weekly log'!$B$7:$B$1000=$A11),0),0)+6),IF(COUNTIFS('Weekly log'!$A$7:$A$1000,F$6,'Weekly log'!$B$7:$B$1000,$A11)=0,"Missing",IF(COUNTIFS('Weekly log'!$A$7:$A$1000,F$6,'Weekly log'!$B$7:$B$1000,$A11,'Weekly log'!$E$7:$E$1000,"Delivered")&gt;0,"Delivered",IF(COUNTIFS('Weekly log'!$A$7:$A$1000,F$6,'Weekly log'!$B$7:$B$1000,$A11,'Weekly log'!$E$7:$E$1000,"Supported")&gt;0,"Supported","Unverified")))),"Missing")</f>
        <v>Unverified</v>
      </c>
      <c r="G11" s="1" t="str">
        <f>IFERROR(HYPERLINK("#'Weekly log'!A"&amp;(MATCH(1,INDEX(('Weekly log'!$A$7:$A$1000=G$6)*('Weekly log'!$B$7:$B$1000=$A11),0),0)+6),IF(COUNTIFS('Weekly log'!$A$7:$A$1000,G$6,'Weekly log'!$B$7:$B$1000,$A11)=0,"Missing",IF(COUNTIFS('Weekly log'!$A$7:$A$1000,G$6,'Weekly log'!$B$7:$B$1000,$A11,'Weekly log'!$E$7:$E$1000,"Delivered")&gt;0,"Delivered",IF(COUNTIFS('Weekly log'!$A$7:$A$1000,G$6,'Weekly log'!$B$7:$B$1000,$A11,'Weekly log'!$E$7:$E$1000,"Supported")&gt;0,"Supported","Unverified")))),"Missing")</f>
        <v>Unverified</v>
      </c>
      <c r="H11" s="1" t="str">
        <f>IFERROR(HYPERLINK("#'Weekly log'!A"&amp;(MATCH(1,INDEX(('Weekly log'!$A$7:$A$1000=H$6)*('Weekly log'!$B$7:$B$1000=$A11),0),0)+6),IF(COUNTIFS('Weekly log'!$A$7:$A$1000,H$6,'Weekly log'!$B$7:$B$1000,$A11)=0,"Missing",IF(COUNTIFS('Weekly log'!$A$7:$A$1000,H$6,'Weekly log'!$B$7:$B$1000,$A11,'Weekly log'!$E$7:$E$1000,"Delivered")&gt;0,"Delivered",IF(COUNTIFS('Weekly log'!$A$7:$A$1000,H$6,'Weekly log'!$B$7:$B$1000,$A11,'Weekly log'!$E$7:$E$1000,"Supported")&gt;0,"Supported","Unverified")))),"Missing")</f>
        <v>Unverified</v>
      </c>
      <c r="I11" s="1" t="str">
        <f>IFERROR(HYPERLINK("#'Weekly log'!A"&amp;(MATCH(1,INDEX(('Weekly log'!$A$7:$A$1000=I$6)*('Weekly log'!$B$7:$B$1000=$A11),0),0)+6),IF(COUNTIFS('Weekly log'!$A$7:$A$1000,I$6,'Weekly log'!$B$7:$B$1000,$A11)=0,"Missing",IF(COUNTIFS('Weekly log'!$A$7:$A$1000,I$6,'Weekly log'!$B$7:$B$1000,$A11,'Weekly log'!$E$7:$E$1000,"Delivered")&gt;0,"Delivered",IF(COUNTIFS('Weekly log'!$A$7:$A$1000,I$6,'Weekly log'!$B$7:$B$1000,$A11,'Weekly log'!$E$7:$E$1000,"Supported")&gt;0,"Supported","Unverified")))),"Missing")</f>
        <v>Delivered</v>
      </c>
    </row>
    <row r="12" spans="1:9" ht="37" customHeight="1" x14ac:dyDescent="0.35">
      <c r="A12" s="6" t="str">
        <f>Team!A12</f>
        <v>Agah Duzenli</v>
      </c>
      <c r="B12" s="1" t="str">
        <f>IFERROR(HYPERLINK("#'Weekly log'!A"&amp;(MATCH(1,INDEX(('Weekly log'!$A$7:$A$1000=B$6)*('Weekly log'!$B$7:$B$1000=$A12),0),0)+6),IF(COUNTIFS('Weekly log'!$A$7:$A$1000,B$6,'Weekly log'!$B$7:$B$1000,$A12)=0,"Missing",IF(COUNTIFS('Weekly log'!$A$7:$A$1000,B$6,'Weekly log'!$B$7:$B$1000,$A12,'Weekly log'!$E$7:$E$1000,"Delivered")&gt;0,"Delivered",IF(COUNTIFS('Weekly log'!$A$7:$A$1000,B$6,'Weekly log'!$B$7:$B$1000,$A12,'Weekly log'!$E$7:$E$1000,"Supported")&gt;0,"Supported","Unverified")))),"Missing")</f>
        <v>Delivered</v>
      </c>
      <c r="C12" s="1" t="str">
        <f>IFERROR(HYPERLINK("#'Weekly log'!A"&amp;(MATCH(1,INDEX(('Weekly log'!$A$7:$A$1000=C$6)*('Weekly log'!$B$7:$B$1000=$A12),0),0)+6),IF(COUNTIFS('Weekly log'!$A$7:$A$1000,C$6,'Weekly log'!$B$7:$B$1000,$A12)=0,"Missing",IF(COUNTIFS('Weekly log'!$A$7:$A$1000,C$6,'Weekly log'!$B$7:$B$1000,$A12,'Weekly log'!$E$7:$E$1000,"Delivered")&gt;0,"Delivered",IF(COUNTIFS('Weekly log'!$A$7:$A$1000,C$6,'Weekly log'!$B$7:$B$1000,$A12,'Weekly log'!$E$7:$E$1000,"Supported")&gt;0,"Supported","Unverified")))),"Missing")</f>
        <v>Delivered</v>
      </c>
      <c r="D12" s="1" t="str">
        <f>IFERROR(HYPERLINK("#'Weekly log'!A"&amp;(MATCH(1,INDEX(('Weekly log'!$A$7:$A$1000=D$6)*('Weekly log'!$B$7:$B$1000=$A12),0),0)+6),IF(COUNTIFS('Weekly log'!$A$7:$A$1000,D$6,'Weekly log'!$B$7:$B$1000,$A12)=0,"Missing",IF(COUNTIFS('Weekly log'!$A$7:$A$1000,D$6,'Weekly log'!$B$7:$B$1000,$A12,'Weekly log'!$E$7:$E$1000,"Delivered")&gt;0,"Delivered",IF(COUNTIFS('Weekly log'!$A$7:$A$1000,D$6,'Weekly log'!$B$7:$B$1000,$A12,'Weekly log'!$E$7:$E$1000,"Supported")&gt;0,"Supported","Unverified")))),"Missing")</f>
        <v>Delivered</v>
      </c>
      <c r="E12" s="1" t="str">
        <f>IFERROR(HYPERLINK("#'Weekly log'!A"&amp;(MATCH(1,INDEX(('Weekly log'!$A$7:$A$1000=E$6)*('Weekly log'!$B$7:$B$1000=$A12),0),0)+6),IF(COUNTIFS('Weekly log'!$A$7:$A$1000,E$6,'Weekly log'!$B$7:$B$1000,$A12)=0,"Missing",IF(COUNTIFS('Weekly log'!$A$7:$A$1000,E$6,'Weekly log'!$B$7:$B$1000,$A12,'Weekly log'!$E$7:$E$1000,"Delivered")&gt;0,"Delivered",IF(COUNTIFS('Weekly log'!$A$7:$A$1000,E$6,'Weekly log'!$B$7:$B$1000,$A12,'Weekly log'!$E$7:$E$1000,"Supported")&gt;0,"Supported","Unverified")))),"Missing")</f>
        <v>Delivered</v>
      </c>
      <c r="F12" s="1" t="str">
        <f>IFERROR(HYPERLINK("#'Weekly log'!A"&amp;(MATCH(1,INDEX(('Weekly log'!$A$7:$A$1000=F$6)*('Weekly log'!$B$7:$B$1000=$A12),0),0)+6),IF(COUNTIFS('Weekly log'!$A$7:$A$1000,F$6,'Weekly log'!$B$7:$B$1000,$A12)=0,"Missing",IF(COUNTIFS('Weekly log'!$A$7:$A$1000,F$6,'Weekly log'!$B$7:$B$1000,$A12,'Weekly log'!$E$7:$E$1000,"Delivered")&gt;0,"Delivered",IF(COUNTIFS('Weekly log'!$A$7:$A$1000,F$6,'Weekly log'!$B$7:$B$1000,$A12,'Weekly log'!$E$7:$E$1000,"Supported")&gt;0,"Supported","Unverified")))),"Missing")</f>
        <v>Delivered</v>
      </c>
      <c r="G12" s="1" t="str">
        <f>IFERROR(HYPERLINK("#'Weekly log'!A"&amp;(MATCH(1,INDEX(('Weekly log'!$A$7:$A$1000=G$6)*('Weekly log'!$B$7:$B$1000=$A12),0),0)+6),IF(COUNTIFS('Weekly log'!$A$7:$A$1000,G$6,'Weekly log'!$B$7:$B$1000,$A12)=0,"Missing",IF(COUNTIFS('Weekly log'!$A$7:$A$1000,G$6,'Weekly log'!$B$7:$B$1000,$A12,'Weekly log'!$E$7:$E$1000,"Delivered")&gt;0,"Delivered",IF(COUNTIFS('Weekly log'!$A$7:$A$1000,G$6,'Weekly log'!$B$7:$B$1000,$A12,'Weekly log'!$E$7:$E$1000,"Supported")&gt;0,"Supported","Unverified")))),"Missing")</f>
        <v>Delivered</v>
      </c>
      <c r="H12" s="1" t="str">
        <f>IFERROR(HYPERLINK("#'Weekly log'!A"&amp;(MATCH(1,INDEX(('Weekly log'!$A$7:$A$1000=H$6)*('Weekly log'!$B$7:$B$1000=$A12),0),0)+6),IF(COUNTIFS('Weekly log'!$A$7:$A$1000,H$6,'Weekly log'!$B$7:$B$1000,$A12)=0,"Missing",IF(COUNTIFS('Weekly log'!$A$7:$A$1000,H$6,'Weekly log'!$B$7:$B$1000,$A12,'Weekly log'!$E$7:$E$1000,"Delivered")&gt;0,"Delivered",IF(COUNTIFS('Weekly log'!$A$7:$A$1000,H$6,'Weekly log'!$B$7:$B$1000,$A12,'Weekly log'!$E$7:$E$1000,"Supported")&gt;0,"Supported","Unverified")))),"Missing")</f>
        <v>Unverified</v>
      </c>
      <c r="I12" s="1" t="str">
        <f>IFERROR(HYPERLINK("#'Weekly log'!A"&amp;(MATCH(1,INDEX(('Weekly log'!$A$7:$A$1000=I$6)*('Weekly log'!$B$7:$B$1000=$A12),0),0)+6),IF(COUNTIFS('Weekly log'!$A$7:$A$1000,I$6,'Weekly log'!$B$7:$B$1000,$A12)=0,"Missing",IF(COUNTIFS('Weekly log'!$A$7:$A$1000,I$6,'Weekly log'!$B$7:$B$1000,$A12,'Weekly log'!$E$7:$E$1000,"Delivered")&gt;0,"Delivered",IF(COUNTIFS('Weekly log'!$A$7:$A$1000,I$6,'Weekly log'!$B$7:$B$1000,$A12,'Weekly log'!$E$7:$E$1000,"Supported")&gt;0,"Supported","Unverified")))),"Missing")</f>
        <v>Delivered</v>
      </c>
    </row>
    <row r="15" spans="1:9" x14ac:dyDescent="0.35">
      <c r="A15" s="7" t="s">
        <v>31</v>
      </c>
      <c r="B15" s="8">
        <f>COUNTIFS('Weekly log'!$A$7:$A$1000,B$6,'Weekly log'!$F$7:$F$1000,"Confirmed")</f>
        <v>0</v>
      </c>
      <c r="C15" s="8">
        <f>COUNTIFS('Weekly log'!$A$7:$A$1000,C$6,'Weekly log'!$F$7:$F$1000,"Confirmed")</f>
        <v>0</v>
      </c>
      <c r="D15" s="8">
        <f>COUNTIFS('Weekly log'!$A$7:$A$1000,D$6,'Weekly log'!$F$7:$F$1000,"Confirmed")</f>
        <v>0</v>
      </c>
      <c r="E15" s="8">
        <f>COUNTIFS('Weekly log'!$A$7:$A$1000,E$6,'Weekly log'!$F$7:$F$1000,"Confirmed")</f>
        <v>0</v>
      </c>
      <c r="F15" s="8">
        <f>COUNTIFS('Weekly log'!$A$7:$A$1000,F$6,'Weekly log'!$F$7:$F$1000,"Confirmed")</f>
        <v>0</v>
      </c>
      <c r="G15" s="8">
        <f>COUNTIFS('Weekly log'!$A$7:$A$1000,G$6,'Weekly log'!$F$7:$F$1000,"Confirmed")</f>
        <v>0</v>
      </c>
      <c r="H15" s="8">
        <f>COUNTIFS('Weekly log'!$A$7:$A$1000,H$6,'Weekly log'!$F$7:$F$1000,"Confirmed")</f>
        <v>0</v>
      </c>
      <c r="I15" s="8">
        <f>COUNTIFS('Weekly log'!$A$7:$A$1000,I$6,'Weekly log'!$F$7:$F$1000,"Confirmed")</f>
        <v>6</v>
      </c>
    </row>
    <row r="16" spans="1:9" x14ac:dyDescent="0.35">
      <c r="A16" s="7" t="s">
        <v>32</v>
      </c>
      <c r="B16" s="9">
        <f>COUNTIFS('Weekly log'!$A$7:$A$1000,B$6,'Weekly log'!$E$7:$E$1000,"Unverified")</f>
        <v>0</v>
      </c>
      <c r="C16" s="9">
        <f>COUNTIFS('Weekly log'!$A$7:$A$1000,C$6,'Weekly log'!$E$7:$E$1000,"Unverified")</f>
        <v>2</v>
      </c>
      <c r="D16" s="9">
        <f>COUNTIFS('Weekly log'!$A$7:$A$1000,D$6,'Weekly log'!$E$7:$E$1000,"Unverified")</f>
        <v>2</v>
      </c>
      <c r="E16" s="9">
        <f>COUNTIFS('Weekly log'!$A$7:$A$1000,E$6,'Weekly log'!$E$7:$E$1000,"Unverified")</f>
        <v>2</v>
      </c>
      <c r="F16" s="9">
        <f>COUNTIFS('Weekly log'!$A$7:$A$1000,F$6,'Weekly log'!$E$7:$E$1000,"Unverified")</f>
        <v>3</v>
      </c>
      <c r="G16" s="9">
        <f>COUNTIFS('Weekly log'!$A$7:$A$1000,G$6,'Weekly log'!$E$7:$E$1000,"Unverified")</f>
        <v>3</v>
      </c>
      <c r="H16" s="9">
        <f>COUNTIFS('Weekly log'!$A$7:$A$1000,H$6,'Weekly log'!$E$7:$E$1000,"Unverified")</f>
        <v>4</v>
      </c>
      <c r="I16" s="9">
        <f>COUNTIFS('Weekly log'!$A$7:$A$1000,I$6,'Weekly log'!$E$7:$E$1000,"Unverified")</f>
        <v>0</v>
      </c>
    </row>
    <row r="17" spans="1:9" x14ac:dyDescent="0.35">
      <c r="A17" s="7" t="s">
        <v>33</v>
      </c>
      <c r="B17" s="10">
        <f>COUNTIF('Weekly log'!$A$7:$A$1000,B$6)</f>
        <v>6</v>
      </c>
      <c r="C17" s="10">
        <f>COUNTIF('Weekly log'!$A$7:$A$1000,C$6)</f>
        <v>6</v>
      </c>
      <c r="D17" s="10">
        <f>COUNTIF('Weekly log'!$A$7:$A$1000,D$6)</f>
        <v>6</v>
      </c>
      <c r="E17" s="10">
        <f>COUNTIF('Weekly log'!$A$7:$A$1000,E$6)</f>
        <v>6</v>
      </c>
      <c r="F17" s="10">
        <f>COUNTIF('Weekly log'!$A$7:$A$1000,F$6)</f>
        <v>6</v>
      </c>
      <c r="G17" s="10">
        <f>COUNTIF('Weekly log'!$A$7:$A$1000,G$6)</f>
        <v>6</v>
      </c>
      <c r="H17" s="10">
        <f>COUNTIF('Weekly log'!$A$7:$A$1000,H$6)</f>
        <v>6</v>
      </c>
      <c r="I17" s="10">
        <f>COUNTIF('Weekly log'!$A$7:$A$1000,I$6)</f>
        <v>6</v>
      </c>
    </row>
    <row r="20" spans="1:9" ht="34" customHeight="1" x14ac:dyDescent="0.35">
      <c r="A20" s="25" t="s">
        <v>34</v>
      </c>
      <c r="B20" s="16"/>
      <c r="C20" s="16"/>
      <c r="D20" s="16"/>
      <c r="E20" s="16"/>
      <c r="F20" s="16"/>
      <c r="G20" s="16"/>
      <c r="H20" s="16"/>
    </row>
    <row r="22" spans="1:9" ht="32" customHeight="1" x14ac:dyDescent="0.35">
      <c r="A22" s="26" t="s">
        <v>35</v>
      </c>
      <c r="B22" s="16"/>
      <c r="C22" s="16"/>
      <c r="D22" s="16"/>
      <c r="E22" s="16"/>
      <c r="F22" s="16"/>
      <c r="G22" s="16"/>
      <c r="H22" s="16"/>
    </row>
  </sheetData>
  <mergeCells count="5">
    <mergeCell ref="A4:H4"/>
    <mergeCell ref="A20:H20"/>
    <mergeCell ref="A2:H2"/>
    <mergeCell ref="A1:H1"/>
    <mergeCell ref="A22:H22"/>
  </mergeCells>
  <conditionalFormatting sqref="B7:H12">
    <cfRule type="expression" dxfId="13" priority="5">
      <formula>B7="Delivered"</formula>
    </cfRule>
    <cfRule type="expression" dxfId="12" priority="6">
      <formula>B7="Supported"</formula>
    </cfRule>
    <cfRule type="expression" dxfId="11" priority="7">
      <formula>B7="Unverified"</formula>
    </cfRule>
    <cfRule type="expression" dxfId="10" priority="8">
      <formula>B7="Missing"</formula>
    </cfRule>
  </conditionalFormatting>
  <conditionalFormatting sqref="I7:I12">
    <cfRule type="expression" dxfId="3" priority="1">
      <formula>I7="Delivered"</formula>
    </cfRule>
    <cfRule type="expression" dxfId="2" priority="2">
      <formula>I7="Supported"</formula>
    </cfRule>
    <cfRule type="expression" dxfId="1" priority="3">
      <formula>I7="Unverified"</formula>
    </cfRule>
    <cfRule type="expression" dxfId="0" priority="4">
      <formula>I7="Missing"</formula>
    </cfRule>
  </conditionalFormatting>
  <printOptions horizontalCentered="1"/>
  <pageMargins left="0.75" right="0.75" top="1" bottom="1" header="0.5" footer="0.5"/>
  <pageSetup paperSize="9" scale="60" orientation="landscape" r:id="rId1"/>
  <headerFooter>
    <oddFooter>&amp;CMarketStreet · Team performance tracker&amp;RPage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634A"/>
    <outlinePr summaryRight="0"/>
    <pageSetUpPr fitToPage="1"/>
  </sheetPr>
  <dimension ref="A1:F54"/>
  <sheetViews>
    <sheetView showGridLines="0" zoomScale="75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26" customWidth="1"/>
    <col min="3" max="3" width="66" customWidth="1"/>
    <col min="4" max="4" width="30" customWidth="1"/>
    <col min="5" max="6" width="19" customWidth="1"/>
  </cols>
  <sheetData>
    <row r="1" spans="1:6" ht="48" customHeight="1" x14ac:dyDescent="0.35">
      <c r="A1" s="19" t="s">
        <v>36</v>
      </c>
      <c r="B1" s="16"/>
      <c r="C1" s="16"/>
      <c r="D1" s="16"/>
      <c r="E1" s="16"/>
      <c r="F1" s="16"/>
    </row>
    <row r="2" spans="1:6" ht="34" customHeight="1" x14ac:dyDescent="0.35">
      <c r="A2" s="15" t="s">
        <v>37</v>
      </c>
      <c r="B2" s="16"/>
      <c r="C2" s="16"/>
      <c r="D2" s="16"/>
      <c r="E2" s="16"/>
      <c r="F2" s="16"/>
    </row>
    <row r="3" spans="1:6" ht="12" customHeight="1" x14ac:dyDescent="0.35"/>
    <row r="4" spans="1:6" ht="28" customHeight="1" x14ac:dyDescent="0.35">
      <c r="A4" s="24" t="s">
        <v>38</v>
      </c>
      <c r="B4" s="16"/>
      <c r="C4" s="16"/>
      <c r="D4" s="16"/>
      <c r="E4" s="16"/>
      <c r="F4" s="16"/>
    </row>
    <row r="6" spans="1:6" ht="32" customHeight="1" x14ac:dyDescent="0.35">
      <c r="A6" s="5" t="s">
        <v>39</v>
      </c>
      <c r="B6" s="5" t="s">
        <v>23</v>
      </c>
      <c r="C6" s="5" t="s">
        <v>40</v>
      </c>
      <c r="D6" s="5" t="s">
        <v>41</v>
      </c>
      <c r="E6" s="5" t="s">
        <v>42</v>
      </c>
      <c r="F6" s="5" t="s">
        <v>43</v>
      </c>
    </row>
    <row r="7" spans="1:6" ht="82" customHeight="1" x14ac:dyDescent="0.35">
      <c r="A7" s="11" t="s">
        <v>24</v>
      </c>
      <c r="B7" s="11" t="s">
        <v>44</v>
      </c>
      <c r="C7" s="11" t="s">
        <v>45</v>
      </c>
      <c r="D7" s="12" t="s">
        <v>46</v>
      </c>
      <c r="E7" s="11" t="s">
        <v>12</v>
      </c>
      <c r="F7" s="11" t="s">
        <v>47</v>
      </c>
    </row>
    <row r="8" spans="1:6" ht="82" customHeight="1" x14ac:dyDescent="0.35">
      <c r="A8" s="11" t="s">
        <v>24</v>
      </c>
      <c r="B8" s="11" t="s">
        <v>48</v>
      </c>
      <c r="C8" s="11" t="s">
        <v>49</v>
      </c>
      <c r="D8" s="12" t="s">
        <v>50</v>
      </c>
      <c r="E8" s="11" t="s">
        <v>12</v>
      </c>
      <c r="F8" s="11" t="s">
        <v>47</v>
      </c>
    </row>
    <row r="9" spans="1:6" ht="82" customHeight="1" x14ac:dyDescent="0.35">
      <c r="A9" s="11" t="s">
        <v>24</v>
      </c>
      <c r="B9" s="11" t="s">
        <v>51</v>
      </c>
      <c r="C9" s="11" t="s">
        <v>52</v>
      </c>
      <c r="D9" s="12" t="s">
        <v>53</v>
      </c>
      <c r="E9" s="11" t="s">
        <v>12</v>
      </c>
      <c r="F9" s="11" t="s">
        <v>47</v>
      </c>
    </row>
    <row r="10" spans="1:6" ht="82" customHeight="1" x14ac:dyDescent="0.35">
      <c r="A10" s="11" t="s">
        <v>24</v>
      </c>
      <c r="B10" s="11" t="s">
        <v>54</v>
      </c>
      <c r="C10" s="11" t="s">
        <v>55</v>
      </c>
      <c r="D10" s="12" t="s">
        <v>56</v>
      </c>
      <c r="E10" s="11" t="s">
        <v>12</v>
      </c>
      <c r="F10" s="11" t="s">
        <v>47</v>
      </c>
    </row>
    <row r="11" spans="1:6" ht="82" customHeight="1" x14ac:dyDescent="0.35">
      <c r="A11" s="11" t="s">
        <v>24</v>
      </c>
      <c r="B11" s="11" t="s">
        <v>57</v>
      </c>
      <c r="C11" s="11" t="s">
        <v>58</v>
      </c>
      <c r="D11" s="12" t="s">
        <v>59</v>
      </c>
      <c r="E11" s="11" t="s">
        <v>12</v>
      </c>
      <c r="F11" s="11" t="s">
        <v>47</v>
      </c>
    </row>
    <row r="12" spans="1:6" ht="82" customHeight="1" x14ac:dyDescent="0.35">
      <c r="A12" s="11" t="s">
        <v>24</v>
      </c>
      <c r="B12" s="11" t="s">
        <v>60</v>
      </c>
      <c r="C12" s="11" t="s">
        <v>61</v>
      </c>
      <c r="D12" s="12" t="s">
        <v>62</v>
      </c>
      <c r="E12" s="11" t="s">
        <v>12</v>
      </c>
      <c r="F12" s="11" t="s">
        <v>47</v>
      </c>
    </row>
    <row r="13" spans="1:6" ht="82" customHeight="1" x14ac:dyDescent="0.35">
      <c r="A13" s="13" t="s">
        <v>25</v>
      </c>
      <c r="B13" s="13" t="s">
        <v>44</v>
      </c>
      <c r="C13" s="13" t="s">
        <v>63</v>
      </c>
      <c r="D13" s="14" t="s">
        <v>64</v>
      </c>
      <c r="E13" s="13" t="s">
        <v>12</v>
      </c>
      <c r="F13" s="13" t="s">
        <v>47</v>
      </c>
    </row>
    <row r="14" spans="1:6" ht="82" customHeight="1" x14ac:dyDescent="0.35">
      <c r="A14" s="13" t="s">
        <v>25</v>
      </c>
      <c r="B14" s="13" t="s">
        <v>48</v>
      </c>
      <c r="C14" s="13" t="s">
        <v>65</v>
      </c>
      <c r="D14" s="14" t="s">
        <v>66</v>
      </c>
      <c r="E14" s="13" t="s">
        <v>14</v>
      </c>
      <c r="F14" s="13" t="s">
        <v>47</v>
      </c>
    </row>
    <row r="15" spans="1:6" ht="82" customHeight="1" x14ac:dyDescent="0.35">
      <c r="A15" s="13" t="s">
        <v>25</v>
      </c>
      <c r="B15" s="13" t="s">
        <v>51</v>
      </c>
      <c r="C15" s="13" t="s">
        <v>67</v>
      </c>
      <c r="D15" s="13" t="s">
        <v>68</v>
      </c>
      <c r="E15" s="13" t="s">
        <v>16</v>
      </c>
      <c r="F15" s="13" t="s">
        <v>69</v>
      </c>
    </row>
    <row r="16" spans="1:6" ht="82" customHeight="1" x14ac:dyDescent="0.35">
      <c r="A16" s="13" t="s">
        <v>25</v>
      </c>
      <c r="B16" s="13" t="s">
        <v>54</v>
      </c>
      <c r="C16" s="13" t="s">
        <v>70</v>
      </c>
      <c r="D16" s="14" t="s">
        <v>71</v>
      </c>
      <c r="E16" s="13" t="s">
        <v>14</v>
      </c>
      <c r="F16" s="13" t="s">
        <v>47</v>
      </c>
    </row>
    <row r="17" spans="1:6" ht="82" customHeight="1" x14ac:dyDescent="0.35">
      <c r="A17" s="13" t="s">
        <v>25</v>
      </c>
      <c r="B17" s="13" t="s">
        <v>57</v>
      </c>
      <c r="C17" s="13" t="s">
        <v>67</v>
      </c>
      <c r="D17" s="13" t="s">
        <v>68</v>
      </c>
      <c r="E17" s="13" t="s">
        <v>16</v>
      </c>
      <c r="F17" s="13" t="s">
        <v>69</v>
      </c>
    </row>
    <row r="18" spans="1:6" ht="82" customHeight="1" x14ac:dyDescent="0.35">
      <c r="A18" s="13" t="s">
        <v>25</v>
      </c>
      <c r="B18" s="13" t="s">
        <v>60</v>
      </c>
      <c r="C18" s="13" t="s">
        <v>72</v>
      </c>
      <c r="D18" s="14" t="s">
        <v>73</v>
      </c>
      <c r="E18" s="13" t="s">
        <v>12</v>
      </c>
      <c r="F18" s="13" t="s">
        <v>47</v>
      </c>
    </row>
    <row r="19" spans="1:6" ht="82" customHeight="1" x14ac:dyDescent="0.35">
      <c r="A19" s="11" t="s">
        <v>26</v>
      </c>
      <c r="B19" s="11" t="s">
        <v>44</v>
      </c>
      <c r="C19" s="11" t="s">
        <v>74</v>
      </c>
      <c r="D19" s="12" t="s">
        <v>75</v>
      </c>
      <c r="E19" s="11" t="s">
        <v>12</v>
      </c>
      <c r="F19" s="11" t="s">
        <v>47</v>
      </c>
    </row>
    <row r="20" spans="1:6" ht="82" customHeight="1" x14ac:dyDescent="0.35">
      <c r="A20" s="11" t="s">
        <v>26</v>
      </c>
      <c r="B20" s="11" t="s">
        <v>48</v>
      </c>
      <c r="C20" s="11" t="s">
        <v>76</v>
      </c>
      <c r="D20" s="12" t="s">
        <v>77</v>
      </c>
      <c r="E20" s="11" t="s">
        <v>12</v>
      </c>
      <c r="F20" s="11" t="s">
        <v>47</v>
      </c>
    </row>
    <row r="21" spans="1:6" ht="82" customHeight="1" x14ac:dyDescent="0.35">
      <c r="A21" s="11" t="s">
        <v>26</v>
      </c>
      <c r="B21" s="11" t="s">
        <v>51</v>
      </c>
      <c r="C21" s="11" t="s">
        <v>78</v>
      </c>
      <c r="D21" s="12" t="s">
        <v>79</v>
      </c>
      <c r="E21" s="11" t="s">
        <v>14</v>
      </c>
      <c r="F21" s="11" t="s">
        <v>47</v>
      </c>
    </row>
    <row r="22" spans="1:6" ht="82" customHeight="1" x14ac:dyDescent="0.35">
      <c r="A22" s="11" t="s">
        <v>26</v>
      </c>
      <c r="B22" s="11" t="s">
        <v>54</v>
      </c>
      <c r="C22" s="11" t="s">
        <v>67</v>
      </c>
      <c r="D22" s="11" t="s">
        <v>68</v>
      </c>
      <c r="E22" s="11" t="s">
        <v>16</v>
      </c>
      <c r="F22" s="11" t="s">
        <v>69</v>
      </c>
    </row>
    <row r="23" spans="1:6" ht="82" customHeight="1" x14ac:dyDescent="0.35">
      <c r="A23" s="11" t="s">
        <v>26</v>
      </c>
      <c r="B23" s="11" t="s">
        <v>57</v>
      </c>
      <c r="C23" s="11" t="s">
        <v>67</v>
      </c>
      <c r="D23" s="11" t="s">
        <v>68</v>
      </c>
      <c r="E23" s="11" t="s">
        <v>16</v>
      </c>
      <c r="F23" s="11" t="s">
        <v>69</v>
      </c>
    </row>
    <row r="24" spans="1:6" ht="82" customHeight="1" x14ac:dyDescent="0.35">
      <c r="A24" s="11" t="s">
        <v>26</v>
      </c>
      <c r="B24" s="11" t="s">
        <v>60</v>
      </c>
      <c r="C24" s="11" t="s">
        <v>80</v>
      </c>
      <c r="D24" s="12" t="s">
        <v>81</v>
      </c>
      <c r="E24" s="11" t="s">
        <v>12</v>
      </c>
      <c r="F24" s="11" t="s">
        <v>47</v>
      </c>
    </row>
    <row r="25" spans="1:6" ht="82" customHeight="1" x14ac:dyDescent="0.35">
      <c r="A25" s="13" t="s">
        <v>27</v>
      </c>
      <c r="B25" s="13" t="s">
        <v>44</v>
      </c>
      <c r="C25" s="13" t="s">
        <v>82</v>
      </c>
      <c r="D25" s="14" t="s">
        <v>83</v>
      </c>
      <c r="E25" s="13" t="s">
        <v>12</v>
      </c>
      <c r="F25" s="13" t="s">
        <v>47</v>
      </c>
    </row>
    <row r="26" spans="1:6" ht="82" customHeight="1" x14ac:dyDescent="0.35">
      <c r="A26" s="13" t="s">
        <v>27</v>
      </c>
      <c r="B26" s="13" t="s">
        <v>48</v>
      </c>
      <c r="C26" s="13" t="s">
        <v>84</v>
      </c>
      <c r="D26" s="14" t="s">
        <v>85</v>
      </c>
      <c r="E26" s="13" t="s">
        <v>12</v>
      </c>
      <c r="F26" s="13" t="s">
        <v>47</v>
      </c>
    </row>
    <row r="27" spans="1:6" ht="82" customHeight="1" x14ac:dyDescent="0.35">
      <c r="A27" s="13" t="s">
        <v>27</v>
      </c>
      <c r="B27" s="13" t="s">
        <v>51</v>
      </c>
      <c r="C27" s="13" t="s">
        <v>67</v>
      </c>
      <c r="D27" s="13" t="s">
        <v>68</v>
      </c>
      <c r="E27" s="13" t="s">
        <v>16</v>
      </c>
      <c r="F27" s="13" t="s">
        <v>69</v>
      </c>
    </row>
    <row r="28" spans="1:6" ht="82" customHeight="1" x14ac:dyDescent="0.35">
      <c r="A28" s="13" t="s">
        <v>27</v>
      </c>
      <c r="B28" s="13" t="s">
        <v>54</v>
      </c>
      <c r="C28" s="13" t="s">
        <v>86</v>
      </c>
      <c r="D28" s="14" t="s">
        <v>87</v>
      </c>
      <c r="E28" s="13" t="s">
        <v>14</v>
      </c>
      <c r="F28" s="13" t="s">
        <v>47</v>
      </c>
    </row>
    <row r="29" spans="1:6" ht="82" customHeight="1" x14ac:dyDescent="0.35">
      <c r="A29" s="13" t="s">
        <v>27</v>
      </c>
      <c r="B29" s="13" t="s">
        <v>57</v>
      </c>
      <c r="C29" s="13" t="s">
        <v>67</v>
      </c>
      <c r="D29" s="13" t="s">
        <v>68</v>
      </c>
      <c r="E29" s="13" t="s">
        <v>16</v>
      </c>
      <c r="F29" s="13" t="s">
        <v>69</v>
      </c>
    </row>
    <row r="30" spans="1:6" ht="82" customHeight="1" x14ac:dyDescent="0.35">
      <c r="A30" s="13" t="s">
        <v>27</v>
      </c>
      <c r="B30" s="13" t="s">
        <v>60</v>
      </c>
      <c r="C30" s="13" t="s">
        <v>88</v>
      </c>
      <c r="D30" s="14" t="s">
        <v>89</v>
      </c>
      <c r="E30" s="13" t="s">
        <v>12</v>
      </c>
      <c r="F30" s="13" t="s">
        <v>47</v>
      </c>
    </row>
    <row r="31" spans="1:6" ht="82" customHeight="1" x14ac:dyDescent="0.35">
      <c r="A31" s="11" t="s">
        <v>28</v>
      </c>
      <c r="B31" s="11" t="s">
        <v>44</v>
      </c>
      <c r="C31" s="11" t="s">
        <v>90</v>
      </c>
      <c r="D31" s="12" t="s">
        <v>91</v>
      </c>
      <c r="E31" s="11" t="s">
        <v>12</v>
      </c>
      <c r="F31" s="11" t="s">
        <v>47</v>
      </c>
    </row>
    <row r="32" spans="1:6" ht="82" customHeight="1" x14ac:dyDescent="0.35">
      <c r="A32" s="11" t="s">
        <v>28</v>
      </c>
      <c r="B32" s="11" t="s">
        <v>48</v>
      </c>
      <c r="C32" s="11" t="s">
        <v>67</v>
      </c>
      <c r="D32" s="11" t="s">
        <v>68</v>
      </c>
      <c r="E32" s="11" t="s">
        <v>16</v>
      </c>
      <c r="F32" s="11" t="s">
        <v>69</v>
      </c>
    </row>
    <row r="33" spans="1:6" ht="82" customHeight="1" x14ac:dyDescent="0.35">
      <c r="A33" s="11" t="s">
        <v>28</v>
      </c>
      <c r="B33" s="11" t="s">
        <v>51</v>
      </c>
      <c r="C33" s="11" t="s">
        <v>67</v>
      </c>
      <c r="D33" s="11" t="s">
        <v>68</v>
      </c>
      <c r="E33" s="11" t="s">
        <v>16</v>
      </c>
      <c r="F33" s="11" t="s">
        <v>69</v>
      </c>
    </row>
    <row r="34" spans="1:6" ht="82" customHeight="1" x14ac:dyDescent="0.35">
      <c r="A34" s="11" t="s">
        <v>28</v>
      </c>
      <c r="B34" s="11" t="s">
        <v>54</v>
      </c>
      <c r="C34" s="11" t="s">
        <v>92</v>
      </c>
      <c r="D34" s="12" t="s">
        <v>93</v>
      </c>
      <c r="E34" s="11" t="s">
        <v>14</v>
      </c>
      <c r="F34" s="11" t="s">
        <v>47</v>
      </c>
    </row>
    <row r="35" spans="1:6" ht="82" customHeight="1" x14ac:dyDescent="0.35">
      <c r="A35" s="11" t="s">
        <v>28</v>
      </c>
      <c r="B35" s="11" t="s">
        <v>57</v>
      </c>
      <c r="C35" s="11" t="s">
        <v>67</v>
      </c>
      <c r="D35" s="11" t="s">
        <v>68</v>
      </c>
      <c r="E35" s="11" t="s">
        <v>16</v>
      </c>
      <c r="F35" s="11" t="s">
        <v>69</v>
      </c>
    </row>
    <row r="36" spans="1:6" ht="82" customHeight="1" x14ac:dyDescent="0.35">
      <c r="A36" s="11" t="s">
        <v>28</v>
      </c>
      <c r="B36" s="11" t="s">
        <v>60</v>
      </c>
      <c r="C36" s="11" t="s">
        <v>94</v>
      </c>
      <c r="D36" s="12" t="s">
        <v>95</v>
      </c>
      <c r="E36" s="11" t="s">
        <v>12</v>
      </c>
      <c r="F36" s="11" t="s">
        <v>47</v>
      </c>
    </row>
    <row r="37" spans="1:6" ht="82" customHeight="1" x14ac:dyDescent="0.35">
      <c r="A37" s="13" t="s">
        <v>29</v>
      </c>
      <c r="B37" s="13" t="s">
        <v>44</v>
      </c>
      <c r="C37" s="13" t="s">
        <v>67</v>
      </c>
      <c r="D37" s="13" t="s">
        <v>68</v>
      </c>
      <c r="E37" s="13" t="s">
        <v>16</v>
      </c>
      <c r="F37" s="13" t="s">
        <v>69</v>
      </c>
    </row>
    <row r="38" spans="1:6" ht="82" customHeight="1" x14ac:dyDescent="0.35">
      <c r="A38" s="13" t="s">
        <v>29</v>
      </c>
      <c r="B38" s="13" t="s">
        <v>48</v>
      </c>
      <c r="C38" s="13" t="s">
        <v>96</v>
      </c>
      <c r="D38" s="14" t="s">
        <v>97</v>
      </c>
      <c r="E38" s="13" t="s">
        <v>12</v>
      </c>
      <c r="F38" s="13" t="s">
        <v>47</v>
      </c>
    </row>
    <row r="39" spans="1:6" ht="82" customHeight="1" x14ac:dyDescent="0.35">
      <c r="A39" s="13" t="s">
        <v>29</v>
      </c>
      <c r="B39" s="13" t="s">
        <v>51</v>
      </c>
      <c r="C39" s="13" t="s">
        <v>67</v>
      </c>
      <c r="D39" s="13" t="s">
        <v>68</v>
      </c>
      <c r="E39" s="13" t="s">
        <v>16</v>
      </c>
      <c r="F39" s="13" t="s">
        <v>69</v>
      </c>
    </row>
    <row r="40" spans="1:6" ht="82" customHeight="1" x14ac:dyDescent="0.35">
      <c r="A40" s="13" t="s">
        <v>29</v>
      </c>
      <c r="B40" s="13" t="s">
        <v>54</v>
      </c>
      <c r="C40" s="13" t="s">
        <v>98</v>
      </c>
      <c r="D40" s="14" t="s">
        <v>99</v>
      </c>
      <c r="E40" s="13" t="s">
        <v>14</v>
      </c>
      <c r="F40" s="13" t="s">
        <v>47</v>
      </c>
    </row>
    <row r="41" spans="1:6" ht="82" customHeight="1" x14ac:dyDescent="0.35">
      <c r="A41" s="13" t="s">
        <v>29</v>
      </c>
      <c r="B41" s="13" t="s">
        <v>57</v>
      </c>
      <c r="C41" s="13" t="s">
        <v>67</v>
      </c>
      <c r="D41" s="13" t="s">
        <v>68</v>
      </c>
      <c r="E41" s="13" t="s">
        <v>16</v>
      </c>
      <c r="F41" s="13" t="s">
        <v>69</v>
      </c>
    </row>
    <row r="42" spans="1:6" ht="82" customHeight="1" x14ac:dyDescent="0.35">
      <c r="A42" s="13" t="s">
        <v>29</v>
      </c>
      <c r="B42" s="13" t="s">
        <v>60</v>
      </c>
      <c r="C42" s="13" t="s">
        <v>100</v>
      </c>
      <c r="D42" s="14" t="s">
        <v>101</v>
      </c>
      <c r="E42" s="13" t="s">
        <v>12</v>
      </c>
      <c r="F42" s="13" t="s">
        <v>47</v>
      </c>
    </row>
    <row r="43" spans="1:6" ht="82" customHeight="1" x14ac:dyDescent="0.35">
      <c r="A43" s="11" t="s">
        <v>30</v>
      </c>
      <c r="B43" s="11" t="s">
        <v>44</v>
      </c>
      <c r="C43" s="11" t="s">
        <v>102</v>
      </c>
      <c r="D43" s="12" t="s">
        <v>103</v>
      </c>
      <c r="E43" s="11" t="s">
        <v>14</v>
      </c>
      <c r="F43" s="11" t="s">
        <v>47</v>
      </c>
    </row>
    <row r="44" spans="1:6" ht="82" customHeight="1" x14ac:dyDescent="0.35">
      <c r="A44" s="11" t="s">
        <v>30</v>
      </c>
      <c r="B44" s="11" t="s">
        <v>48</v>
      </c>
      <c r="C44" s="11" t="s">
        <v>104</v>
      </c>
      <c r="D44" s="12" t="s">
        <v>105</v>
      </c>
      <c r="E44" s="11" t="s">
        <v>12</v>
      </c>
      <c r="F44" s="11" t="s">
        <v>47</v>
      </c>
    </row>
    <row r="45" spans="1:6" ht="82" customHeight="1" x14ac:dyDescent="0.35">
      <c r="A45" s="11" t="s">
        <v>30</v>
      </c>
      <c r="B45" s="11" t="s">
        <v>51</v>
      </c>
      <c r="C45" s="11" t="s">
        <v>67</v>
      </c>
      <c r="D45" s="11" t="s">
        <v>68</v>
      </c>
      <c r="E45" s="11" t="s">
        <v>16</v>
      </c>
      <c r="F45" s="11" t="s">
        <v>69</v>
      </c>
    </row>
    <row r="46" spans="1:6" ht="82" customHeight="1" x14ac:dyDescent="0.35">
      <c r="A46" s="11" t="s">
        <v>30</v>
      </c>
      <c r="B46" s="11" t="s">
        <v>54</v>
      </c>
      <c r="C46" s="11" t="s">
        <v>67</v>
      </c>
      <c r="D46" s="11" t="s">
        <v>68</v>
      </c>
      <c r="E46" s="11" t="s">
        <v>16</v>
      </c>
      <c r="F46" s="11" t="s">
        <v>69</v>
      </c>
    </row>
    <row r="47" spans="1:6" ht="82" customHeight="1" x14ac:dyDescent="0.35">
      <c r="A47" s="11" t="s">
        <v>30</v>
      </c>
      <c r="B47" s="11" t="s">
        <v>57</v>
      </c>
      <c r="C47" s="11" t="s">
        <v>67</v>
      </c>
      <c r="D47" s="11" t="s">
        <v>68</v>
      </c>
      <c r="E47" s="11" t="s">
        <v>16</v>
      </c>
      <c r="F47" s="11" t="s">
        <v>69</v>
      </c>
    </row>
    <row r="48" spans="1:6" ht="82" customHeight="1" x14ac:dyDescent="0.35">
      <c r="A48" s="11" t="s">
        <v>30</v>
      </c>
      <c r="B48" s="11" t="s">
        <v>60</v>
      </c>
      <c r="C48" s="11" t="s">
        <v>67</v>
      </c>
      <c r="D48" s="11" t="s">
        <v>68</v>
      </c>
      <c r="E48" s="11" t="s">
        <v>16</v>
      </c>
      <c r="F48" s="11" t="s">
        <v>69</v>
      </c>
    </row>
    <row r="49" spans="1:6" x14ac:dyDescent="0.35">
      <c r="A49" t="s">
        <v>122</v>
      </c>
      <c r="B49" t="s">
        <v>44</v>
      </c>
      <c r="C49" t="s">
        <v>123</v>
      </c>
      <c r="D49" t="s">
        <v>123</v>
      </c>
      <c r="E49" t="s">
        <v>12</v>
      </c>
      <c r="F49" t="s">
        <v>124</v>
      </c>
    </row>
    <row r="50" spans="1:6" x14ac:dyDescent="0.35">
      <c r="A50" t="s">
        <v>122</v>
      </c>
      <c r="B50" t="s">
        <v>48</v>
      </c>
      <c r="C50" t="s">
        <v>123</v>
      </c>
      <c r="D50" t="s">
        <v>123</v>
      </c>
      <c r="E50" t="s">
        <v>12</v>
      </c>
      <c r="F50" t="s">
        <v>124</v>
      </c>
    </row>
    <row r="51" spans="1:6" x14ac:dyDescent="0.35">
      <c r="A51" t="s">
        <v>122</v>
      </c>
      <c r="B51" t="s">
        <v>51</v>
      </c>
      <c r="C51" t="s">
        <v>123</v>
      </c>
      <c r="D51" t="s">
        <v>123</v>
      </c>
      <c r="E51" t="s">
        <v>12</v>
      </c>
      <c r="F51" t="s">
        <v>124</v>
      </c>
    </row>
    <row r="52" spans="1:6" x14ac:dyDescent="0.35">
      <c r="A52" t="s">
        <v>122</v>
      </c>
      <c r="B52" t="s">
        <v>54</v>
      </c>
      <c r="C52" t="s">
        <v>123</v>
      </c>
      <c r="D52" t="s">
        <v>123</v>
      </c>
      <c r="E52" t="s">
        <v>12</v>
      </c>
      <c r="F52" t="s">
        <v>124</v>
      </c>
    </row>
    <row r="53" spans="1:6" x14ac:dyDescent="0.35">
      <c r="A53" t="s">
        <v>122</v>
      </c>
      <c r="B53" t="s">
        <v>57</v>
      </c>
      <c r="C53" t="s">
        <v>123</v>
      </c>
      <c r="D53" t="s">
        <v>123</v>
      </c>
      <c r="E53" t="s">
        <v>12</v>
      </c>
      <c r="F53" t="s">
        <v>124</v>
      </c>
    </row>
    <row r="54" spans="1:6" x14ac:dyDescent="0.35">
      <c r="A54" t="s">
        <v>122</v>
      </c>
      <c r="B54" t="s">
        <v>60</v>
      </c>
      <c r="C54" t="s">
        <v>123</v>
      </c>
      <c r="D54" t="s">
        <v>123</v>
      </c>
      <c r="E54" t="s">
        <v>12</v>
      </c>
      <c r="F54" t="s">
        <v>124</v>
      </c>
    </row>
  </sheetData>
  <mergeCells count="3">
    <mergeCell ref="A2:F2"/>
    <mergeCell ref="A1:F1"/>
    <mergeCell ref="A4:F4"/>
  </mergeCells>
  <conditionalFormatting sqref="E7:E1000">
    <cfRule type="expression" dxfId="9" priority="1">
      <formula>$E7="Delivered"</formula>
    </cfRule>
    <cfRule type="expression" dxfId="8" priority="2">
      <formula>$E7="Supported"</formula>
    </cfRule>
    <cfRule type="expression" dxfId="7" priority="3">
      <formula>$E7="Unverified"</formula>
    </cfRule>
    <cfRule type="expression" dxfId="6" priority="4">
      <formula>$E7="Missing"</formula>
    </cfRule>
  </conditionalFormatting>
  <conditionalFormatting sqref="F7:F1000">
    <cfRule type="expression" dxfId="5" priority="5">
      <formula>$F7="Confirmed"</formula>
    </cfRule>
    <cfRule type="expression" dxfId="4" priority="6">
      <formula>$F7="Needs details"</formula>
    </cfRule>
  </conditionalFormatting>
  <dataValidations count="3">
    <dataValidation type="list" showInputMessage="1" showErrorMessage="1" errorTitle="Choose a listed value" error="Use the six names from the Team sheet." promptTitle="Choose a team member" prompt="Use the six names from the Team sheet." sqref="B7:B1000" xr:uid="{00000000-0002-0000-0200-000000000000}">
      <formula1>MemberNames</formula1>
    </dataValidation>
    <dataValidation type="list" showInputMessage="1" showErrorMessage="1" errorTitle="Choose a listed value" error="Choose a rating after reviewing the evidence." promptTitle="Contribution rating" prompt="Choose a rating after reviewing the evidence." sqref="E7:E1000" xr:uid="{00000000-0002-0000-0200-000001000000}">
      <formula1>"Delivered,Supported,Unverified"</formula1>
    </dataValidation>
    <dataValidation type="list" showInputMessage="1" showErrorMessage="1" errorTitle="Choose a listed value" error="Use Confirmed only after the leader has checked this entry." promptTitle="Leader review" prompt="Use Confirmed only after the leader has checked this entry." sqref="F7:F1000" xr:uid="{00000000-0002-0000-0200-000002000000}">
      <formula1>"Provisional,Needs details,Confirmed"</formula1>
    </dataValidation>
  </dataValidations>
  <hyperlinks>
    <hyperlink ref="D7" r:id="rId1" xr:uid="{00000000-0004-0000-0200-000000000000}"/>
    <hyperlink ref="D8" r:id="rId2" xr:uid="{00000000-0004-0000-0200-000001000000}"/>
    <hyperlink ref="D9" r:id="rId3" xr:uid="{00000000-0004-0000-0200-000002000000}"/>
    <hyperlink ref="D10" r:id="rId4" xr:uid="{00000000-0004-0000-0200-000003000000}"/>
    <hyperlink ref="D11" r:id="rId5" xr:uid="{00000000-0004-0000-0200-000004000000}"/>
    <hyperlink ref="D12" r:id="rId6" xr:uid="{00000000-0004-0000-0200-000005000000}"/>
    <hyperlink ref="D13" r:id="rId7" xr:uid="{00000000-0004-0000-0200-000006000000}"/>
    <hyperlink ref="D14" r:id="rId8" xr:uid="{00000000-0004-0000-0200-000007000000}"/>
    <hyperlink ref="D16" r:id="rId9" xr:uid="{00000000-0004-0000-0200-000008000000}"/>
    <hyperlink ref="D18" r:id="rId10" xr:uid="{00000000-0004-0000-0200-000009000000}"/>
    <hyperlink ref="D19" r:id="rId11" xr:uid="{00000000-0004-0000-0200-00000A000000}"/>
    <hyperlink ref="D20" r:id="rId12" xr:uid="{00000000-0004-0000-0200-00000B000000}"/>
    <hyperlink ref="D21" r:id="rId13" xr:uid="{00000000-0004-0000-0200-00000C000000}"/>
    <hyperlink ref="D24" r:id="rId14" xr:uid="{00000000-0004-0000-0200-00000D000000}"/>
    <hyperlink ref="D25" r:id="rId15" xr:uid="{00000000-0004-0000-0200-00000E000000}"/>
    <hyperlink ref="D26" r:id="rId16" xr:uid="{00000000-0004-0000-0200-00000F000000}"/>
    <hyperlink ref="D28" r:id="rId17" xr:uid="{00000000-0004-0000-0200-000010000000}"/>
    <hyperlink ref="D30" r:id="rId18" xr:uid="{00000000-0004-0000-0200-000011000000}"/>
    <hyperlink ref="D31" r:id="rId19" xr:uid="{00000000-0004-0000-0200-000012000000}"/>
    <hyperlink ref="D34" r:id="rId20" xr:uid="{00000000-0004-0000-0200-000013000000}"/>
    <hyperlink ref="D36" r:id="rId21" xr:uid="{00000000-0004-0000-0200-000014000000}"/>
    <hyperlink ref="D38" r:id="rId22" xr:uid="{00000000-0004-0000-0200-000015000000}"/>
    <hyperlink ref="D40" r:id="rId23" xr:uid="{00000000-0004-0000-0200-000016000000}"/>
    <hyperlink ref="D42" r:id="rId24" xr:uid="{00000000-0004-0000-0200-000017000000}"/>
    <hyperlink ref="D43" r:id="rId25" xr:uid="{00000000-0004-0000-0200-000018000000}"/>
    <hyperlink ref="D44" r:id="rId26" xr:uid="{00000000-0004-0000-0200-000019000000}"/>
  </hyperlinks>
  <printOptions horizontalCentered="1"/>
  <pageMargins left="0.75" right="0.75" top="1" bottom="1" header="0.5" footer="0.5"/>
  <pageSetup paperSize="9" scale="75" fitToHeight="0" orientation="landscape" r:id="rId27"/>
  <headerFooter>
    <oddFooter>&amp;CMarketStreet · Team performance tracker&amp;RPage &amp;P</oddFooter>
  </headerFooter>
  <legacyDrawing r:id="rId28"/>
  <tableParts count="1">
    <tablePart r:id="rId2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3A51"/>
    <outlinePr summaryRight="0"/>
    <pageSetUpPr fitToPage="1"/>
  </sheetPr>
  <dimension ref="A1:C12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7" customWidth="1"/>
    <col min="2" max="2" width="43" customWidth="1"/>
    <col min="3" max="3" width="65" customWidth="1"/>
  </cols>
  <sheetData>
    <row r="1" spans="1:3" ht="48" customHeight="1" x14ac:dyDescent="0.35">
      <c r="A1" s="19" t="s">
        <v>106</v>
      </c>
      <c r="B1" s="16"/>
      <c r="C1" s="16"/>
    </row>
    <row r="2" spans="1:3" ht="34" customHeight="1" x14ac:dyDescent="0.35">
      <c r="A2" s="15" t="s">
        <v>107</v>
      </c>
      <c r="B2" s="16"/>
      <c r="C2" s="16"/>
    </row>
    <row r="3" spans="1:3" ht="12" customHeight="1" x14ac:dyDescent="0.35"/>
    <row r="6" spans="1:3" ht="32" customHeight="1" x14ac:dyDescent="0.35">
      <c r="A6" s="5" t="s">
        <v>23</v>
      </c>
      <c r="B6" s="5" t="s">
        <v>108</v>
      </c>
      <c r="C6" s="5" t="s">
        <v>109</v>
      </c>
    </row>
    <row r="7" spans="1:3" ht="36" customHeight="1" x14ac:dyDescent="0.35">
      <c r="A7" s="11" t="s">
        <v>44</v>
      </c>
      <c r="B7" s="11" t="s">
        <v>110</v>
      </c>
      <c r="C7" s="11" t="s">
        <v>111</v>
      </c>
    </row>
    <row r="8" spans="1:3" ht="36" customHeight="1" x14ac:dyDescent="0.35">
      <c r="A8" s="13" t="s">
        <v>48</v>
      </c>
      <c r="B8" s="13" t="s">
        <v>112</v>
      </c>
      <c r="C8" s="13" t="s">
        <v>113</v>
      </c>
    </row>
    <row r="9" spans="1:3" ht="36" customHeight="1" x14ac:dyDescent="0.35">
      <c r="A9" s="11" t="s">
        <v>51</v>
      </c>
      <c r="B9" s="11" t="s">
        <v>114</v>
      </c>
      <c r="C9" s="11" t="s">
        <v>115</v>
      </c>
    </row>
    <row r="10" spans="1:3" ht="36" customHeight="1" x14ac:dyDescent="0.35">
      <c r="A10" s="13" t="s">
        <v>54</v>
      </c>
      <c r="B10" s="13" t="s">
        <v>116</v>
      </c>
      <c r="C10" s="13" t="s">
        <v>117</v>
      </c>
    </row>
    <row r="11" spans="1:3" ht="36" customHeight="1" x14ac:dyDescent="0.35">
      <c r="A11" s="11" t="s">
        <v>57</v>
      </c>
      <c r="B11" s="11" t="s">
        <v>118</v>
      </c>
      <c r="C11" s="11" t="s">
        <v>119</v>
      </c>
    </row>
    <row r="12" spans="1:3" ht="36" customHeight="1" x14ac:dyDescent="0.35">
      <c r="A12" s="13" t="s">
        <v>60</v>
      </c>
      <c r="B12" s="13" t="s">
        <v>120</v>
      </c>
      <c r="C12" s="13" t="s">
        <v>121</v>
      </c>
    </row>
  </sheetData>
  <mergeCells count="2">
    <mergeCell ref="A1:C1"/>
    <mergeCell ref="A2:C2"/>
  </mergeCells>
  <printOptions horizontalCentered="1"/>
  <pageMargins left="0.75" right="0.75" top="1" bottom="1" header="0.5" footer="0.5"/>
  <pageSetup paperSize="9" scale="96" fitToHeight="0" orientation="landscape" r:id="rId1"/>
  <headerFooter>
    <oddFooter>&amp;CMarketStreet · Team performance tracker&amp;RPage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Start here</vt:lpstr>
      <vt:lpstr>Overview</vt:lpstr>
      <vt:lpstr>Weekly log</vt:lpstr>
      <vt:lpstr>Team</vt:lpstr>
      <vt:lpstr>MemberNames</vt:lpstr>
      <vt:lpstr>Overview!Print_Area</vt:lpstr>
      <vt:lpstr>'Start here'!Print_Area</vt:lpstr>
      <vt:lpstr>Team!Print_Area</vt:lpstr>
      <vt:lpstr>'Weekly log'!Print_Area</vt:lpstr>
      <vt:lpstr>Overview!Print_Titles</vt:lpstr>
      <vt:lpstr>Team!Print_Titles</vt:lpstr>
      <vt:lpstr>'Weekly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MarketStreet | Team performance tracker</dc:title>
  <dc:subject>Weekly contributions and evidence, Weeks 3–9</dc:subject>
  <dc:creator>MarketStreet</dc:creator>
  <dc:description>Qualitative contribution ratings reconstructed from repository evidence. Leader review required.</dc:description>
  <cp:lastModifiedBy>Austin Nguyen</cp:lastModifiedBy>
  <cp:lastPrinted>2026-10-26T04:56:30Z</cp:lastPrinted>
  <dcterms:created xsi:type="dcterms:W3CDTF">2026-09-15T12:16:15Z</dcterms:created>
  <dcterms:modified xsi:type="dcterms:W3CDTF">2026-10-26T04:56:31Z</dcterms:modified>
</cp:coreProperties>
</file>